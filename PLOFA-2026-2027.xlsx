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revor Majani\Downloads\plofa_checkpoint6\plofa\"/>
    </mc:Choice>
  </mc:AlternateContent>
  <xr:revisionPtr revIDLastSave="0" documentId="13_ncr:1_{81D0006D-AC4E-4A55-AC97-63A565D6AD93}" xr6:coauthVersionLast="47" xr6:coauthVersionMax="47" xr10:uidLastSave="{00000000-0000-0000-0000-000000000000}"/>
  <bookViews>
    <workbookView xWindow="-120" yWindow="600" windowWidth="20730" windowHeight="11040" activeTab="1" xr2:uid="{F96AC7DF-5AC7-4206-9DC5-9ED54A22FB20}"/>
  </bookViews>
  <sheets>
    <sheet name="FIXTURES" sheetId="4" r:id="rId1"/>
    <sheet name="PLAYERS" sheetId="2" r:id="rId2"/>
    <sheet name="TRANSFERS" sheetId="3" r:id="rId3"/>
  </sheets>
  <definedNames>
    <definedName name="Table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4" i="2" l="1"/>
  <c r="M14" i="2"/>
  <c r="P14" i="2"/>
  <c r="Q14" i="2"/>
  <c r="R14" i="2"/>
  <c r="I308" i="4"/>
  <c r="J308" i="4"/>
  <c r="L308" i="4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I357" i="2"/>
  <c r="M357" i="2"/>
  <c r="P357" i="2"/>
  <c r="Q357" i="2"/>
  <c r="R357" i="2"/>
  <c r="I214" i="2"/>
  <c r="M214" i="2"/>
  <c r="P214" i="2"/>
  <c r="Q214" i="2"/>
  <c r="R214" i="2"/>
  <c r="K67" i="3"/>
  <c r="L67" i="3"/>
  <c r="N67" i="3"/>
  <c r="K68" i="3"/>
  <c r="L68" i="3"/>
  <c r="N68" i="3"/>
  <c r="M68" i="3" s="1"/>
  <c r="K69" i="3"/>
  <c r="L69" i="3"/>
  <c r="N69" i="3"/>
  <c r="B308" i="4"/>
  <c r="C308" i="4"/>
  <c r="Q213" i="2"/>
  <c r="I213" i="2"/>
  <c r="M213" i="2"/>
  <c r="P213" i="2"/>
  <c r="R213" i="2"/>
  <c r="M308" i="4" l="1"/>
  <c r="M67" i="3"/>
  <c r="M69" i="3"/>
  <c r="K53" i="3"/>
  <c r="L53" i="3"/>
  <c r="N53" i="3"/>
  <c r="K52" i="3"/>
  <c r="L52" i="3"/>
  <c r="N52" i="3"/>
  <c r="R218" i="2"/>
  <c r="M53" i="3" l="1"/>
  <c r="M52" i="3"/>
  <c r="I218" i="2" l="1"/>
  <c r="M218" i="2"/>
  <c r="P218" i="2"/>
  <c r="Q218" i="2"/>
  <c r="I172" i="2"/>
  <c r="M172" i="2"/>
  <c r="P172" i="2"/>
  <c r="Q172" i="2"/>
  <c r="R172" i="2"/>
  <c r="H435" i="2"/>
  <c r="R292" i="2"/>
  <c r="I292" i="2"/>
  <c r="M292" i="2"/>
  <c r="P292" i="2"/>
  <c r="Q292" i="2"/>
  <c r="H308" i="4" l="1"/>
  <c r="B435" i="2"/>
  <c r="I433" i="2"/>
  <c r="I434" i="2"/>
  <c r="M433" i="2"/>
  <c r="M434" i="2"/>
  <c r="P433" i="2"/>
  <c r="P434" i="2"/>
  <c r="Q433" i="2"/>
  <c r="Q434" i="2"/>
  <c r="R433" i="2"/>
  <c r="R434" i="2"/>
  <c r="R409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Q378" i="2" l="1"/>
  <c r="Q379" i="2"/>
  <c r="Q380" i="2"/>
  <c r="Q381" i="2"/>
  <c r="Q382" i="2"/>
  <c r="Q383" i="2"/>
  <c r="Q384" i="2"/>
  <c r="Q385" i="2"/>
  <c r="Q386" i="2"/>
  <c r="R377" i="2"/>
  <c r="R378" i="2"/>
  <c r="R379" i="2"/>
  <c r="R380" i="2"/>
  <c r="R381" i="2"/>
  <c r="R382" i="2"/>
  <c r="R383" i="2"/>
  <c r="R384" i="2"/>
  <c r="R385" i="2"/>
  <c r="R386" i="2"/>
  <c r="I242" i="2"/>
  <c r="M242" i="2"/>
  <c r="P242" i="2"/>
  <c r="Q242" i="2"/>
  <c r="R242" i="2"/>
  <c r="I193" i="2" l="1"/>
  <c r="M193" i="2"/>
  <c r="P193" i="2"/>
  <c r="Q193" i="2"/>
  <c r="R193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I410" i="2"/>
  <c r="M410" i="2"/>
  <c r="P410" i="2"/>
  <c r="Q410" i="2"/>
  <c r="R410" i="2"/>
  <c r="I388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P388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I387" i="2"/>
  <c r="M387" i="2"/>
  <c r="P387" i="2"/>
  <c r="Q387" i="2"/>
  <c r="R387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I364" i="2"/>
  <c r="M364" i="2"/>
  <c r="P364" i="2"/>
  <c r="Q364" i="2"/>
  <c r="R364" i="2"/>
  <c r="I337" i="2" l="1"/>
  <c r="M337" i="2"/>
  <c r="P337" i="2"/>
  <c r="Q337" i="2"/>
  <c r="R337" i="2"/>
  <c r="I331" i="2"/>
  <c r="M331" i="2"/>
  <c r="P331" i="2"/>
  <c r="Q331" i="2"/>
  <c r="R331" i="2"/>
  <c r="I332" i="2"/>
  <c r="M332" i="2"/>
  <c r="P332" i="2"/>
  <c r="Q332" i="2"/>
  <c r="R332" i="2"/>
  <c r="I333" i="2"/>
  <c r="M333" i="2"/>
  <c r="P333" i="2"/>
  <c r="Q333" i="2"/>
  <c r="R333" i="2"/>
  <c r="I287" i="2"/>
  <c r="M287" i="2"/>
  <c r="P287" i="2"/>
  <c r="Q287" i="2"/>
  <c r="R287" i="2"/>
  <c r="I289" i="2"/>
  <c r="M289" i="2"/>
  <c r="P289" i="2"/>
  <c r="Q289" i="2"/>
  <c r="R289" i="2"/>
  <c r="P281" i="2"/>
  <c r="Q281" i="2"/>
  <c r="R281" i="2"/>
  <c r="M281" i="2"/>
  <c r="M282" i="2"/>
  <c r="I281" i="2"/>
  <c r="K66" i="3"/>
  <c r="L66" i="3"/>
  <c r="N66" i="3"/>
  <c r="K49" i="3"/>
  <c r="L49" i="3"/>
  <c r="N49" i="3"/>
  <c r="K50" i="3"/>
  <c r="L50" i="3"/>
  <c r="N50" i="3"/>
  <c r="K51" i="3"/>
  <c r="L51" i="3"/>
  <c r="N51" i="3"/>
  <c r="M230" i="2"/>
  <c r="M231" i="2"/>
  <c r="M66" i="3" l="1"/>
  <c r="M50" i="3"/>
  <c r="M51" i="3"/>
  <c r="M49" i="3"/>
  <c r="K65" i="3"/>
  <c r="L65" i="3"/>
  <c r="N65" i="3"/>
  <c r="M65" i="3" s="1"/>
  <c r="K47" i="3"/>
  <c r="L47" i="3"/>
  <c r="N47" i="3"/>
  <c r="K48" i="3"/>
  <c r="L48" i="3"/>
  <c r="N48" i="3"/>
  <c r="M180" i="2"/>
  <c r="I180" i="2"/>
  <c r="M178" i="2"/>
  <c r="I178" i="2"/>
  <c r="I113" i="2"/>
  <c r="M113" i="2"/>
  <c r="P113" i="2"/>
  <c r="Q113" i="2"/>
  <c r="R113" i="2"/>
  <c r="I92" i="2"/>
  <c r="M92" i="2"/>
  <c r="P92" i="2"/>
  <c r="Q92" i="2"/>
  <c r="R92" i="2"/>
  <c r="I90" i="2"/>
  <c r="M90" i="2"/>
  <c r="P90" i="2"/>
  <c r="Q90" i="2"/>
  <c r="R90" i="2"/>
  <c r="I84" i="2"/>
  <c r="M84" i="2"/>
  <c r="P84" i="2"/>
  <c r="Q84" i="2"/>
  <c r="R84" i="2"/>
  <c r="I85" i="2"/>
  <c r="M85" i="2"/>
  <c r="P85" i="2"/>
  <c r="Q85" i="2"/>
  <c r="R85" i="2"/>
  <c r="K61" i="3"/>
  <c r="L61" i="3"/>
  <c r="N61" i="3"/>
  <c r="K62" i="3"/>
  <c r="L62" i="3"/>
  <c r="N62" i="3"/>
  <c r="K45" i="3"/>
  <c r="L45" i="3"/>
  <c r="N45" i="3"/>
  <c r="K63" i="3"/>
  <c r="L63" i="3"/>
  <c r="N63" i="3"/>
  <c r="I10" i="2"/>
  <c r="M10" i="2"/>
  <c r="P10" i="2"/>
  <c r="Q10" i="2"/>
  <c r="R10" i="2"/>
  <c r="L435" i="2"/>
  <c r="I261" i="2"/>
  <c r="M261" i="2"/>
  <c r="P261" i="2"/>
  <c r="Q261" i="2"/>
  <c r="R261" i="2"/>
  <c r="I254" i="2"/>
  <c r="M254" i="2"/>
  <c r="P254" i="2"/>
  <c r="Q254" i="2"/>
  <c r="R254" i="2"/>
  <c r="I255" i="2"/>
  <c r="M255" i="2"/>
  <c r="P255" i="2"/>
  <c r="Q255" i="2"/>
  <c r="R255" i="2"/>
  <c r="I256" i="2"/>
  <c r="M256" i="2"/>
  <c r="P256" i="2"/>
  <c r="Q256" i="2"/>
  <c r="R256" i="2"/>
  <c r="K4" i="3"/>
  <c r="L4" i="3"/>
  <c r="N4" i="3"/>
  <c r="K60" i="3"/>
  <c r="L60" i="3"/>
  <c r="N60" i="3"/>
  <c r="K64" i="3"/>
  <c r="L64" i="3"/>
  <c r="N64" i="3"/>
  <c r="I36" i="2"/>
  <c r="M36" i="2"/>
  <c r="P36" i="2"/>
  <c r="Q36" i="2"/>
  <c r="R36" i="2"/>
  <c r="I35" i="2"/>
  <c r="M35" i="2"/>
  <c r="P35" i="2"/>
  <c r="Q35" i="2"/>
  <c r="R35" i="2"/>
  <c r="M21" i="2"/>
  <c r="P21" i="2"/>
  <c r="Q21" i="2"/>
  <c r="R21" i="2"/>
  <c r="I21" i="2"/>
  <c r="K14" i="3"/>
  <c r="L14" i="3"/>
  <c r="N14" i="3"/>
  <c r="K42" i="3"/>
  <c r="L42" i="3"/>
  <c r="N42" i="3"/>
  <c r="K3" i="3"/>
  <c r="L3" i="3"/>
  <c r="N3" i="3"/>
  <c r="K43" i="3"/>
  <c r="L43" i="3"/>
  <c r="N43" i="3"/>
  <c r="K44" i="3"/>
  <c r="L44" i="3"/>
  <c r="N44" i="3"/>
  <c r="K39" i="3"/>
  <c r="L39" i="3"/>
  <c r="N39" i="3"/>
  <c r="K40" i="3"/>
  <c r="L40" i="3"/>
  <c r="N40" i="3"/>
  <c r="K41" i="3"/>
  <c r="L41" i="3"/>
  <c r="N41" i="3"/>
  <c r="K10" i="3"/>
  <c r="L10" i="3"/>
  <c r="N10" i="3"/>
  <c r="K13" i="3"/>
  <c r="L13" i="3"/>
  <c r="N13" i="3"/>
  <c r="K38" i="3"/>
  <c r="L38" i="3"/>
  <c r="N38" i="3"/>
  <c r="K2" i="3"/>
  <c r="L2" i="3"/>
  <c r="N2" i="3"/>
  <c r="K30" i="3"/>
  <c r="L30" i="3"/>
  <c r="N30" i="3"/>
  <c r="K31" i="3"/>
  <c r="L31" i="3"/>
  <c r="N31" i="3"/>
  <c r="K32" i="3"/>
  <c r="L32" i="3"/>
  <c r="N32" i="3"/>
  <c r="K33" i="3"/>
  <c r="L33" i="3"/>
  <c r="N33" i="3"/>
  <c r="K34" i="3"/>
  <c r="L34" i="3"/>
  <c r="N34" i="3"/>
  <c r="K35" i="3"/>
  <c r="L35" i="3"/>
  <c r="N35" i="3"/>
  <c r="K36" i="3"/>
  <c r="L36" i="3"/>
  <c r="N36" i="3"/>
  <c r="K37" i="3"/>
  <c r="L37" i="3"/>
  <c r="N37" i="3"/>
  <c r="M47" i="3" l="1"/>
  <c r="M48" i="3"/>
  <c r="M45" i="3"/>
  <c r="M63" i="3"/>
  <c r="M61" i="3"/>
  <c r="M62" i="3"/>
  <c r="M60" i="3"/>
  <c r="M64" i="3"/>
  <c r="M10" i="3"/>
  <c r="M44" i="3"/>
  <c r="M14" i="3"/>
  <c r="M4" i="3"/>
  <c r="M13" i="3"/>
  <c r="M43" i="3"/>
  <c r="M42" i="3"/>
  <c r="M3" i="3"/>
  <c r="M39" i="3"/>
  <c r="M40" i="3"/>
  <c r="M41" i="3"/>
  <c r="M38" i="3"/>
  <c r="M2" i="3"/>
  <c r="M30" i="3"/>
  <c r="M31" i="3"/>
  <c r="M32" i="3"/>
  <c r="M33" i="3"/>
  <c r="M34" i="3"/>
  <c r="M36" i="3"/>
  <c r="M35" i="3"/>
  <c r="M37" i="3"/>
  <c r="I136" i="2" l="1"/>
  <c r="M136" i="2"/>
  <c r="P136" i="2"/>
  <c r="Q136" i="2"/>
  <c r="R136" i="2"/>
  <c r="I142" i="2"/>
  <c r="M142" i="2"/>
  <c r="P142" i="2"/>
  <c r="Q142" i="2"/>
  <c r="R142" i="2"/>
  <c r="I129" i="2"/>
  <c r="M129" i="2"/>
  <c r="P129" i="2"/>
  <c r="Q129" i="2"/>
  <c r="R129" i="2"/>
  <c r="K435" i="2"/>
  <c r="J435" i="2"/>
  <c r="I68" i="2"/>
  <c r="M68" i="2"/>
  <c r="P68" i="2"/>
  <c r="Q68" i="2"/>
  <c r="R68" i="2"/>
  <c r="I65" i="2"/>
  <c r="M65" i="2"/>
  <c r="P65" i="2"/>
  <c r="Q65" i="2"/>
  <c r="R65" i="2"/>
  <c r="I55" i="2"/>
  <c r="M55" i="2"/>
  <c r="P55" i="2"/>
  <c r="Q55" i="2"/>
  <c r="R55" i="2"/>
  <c r="E435" i="2"/>
  <c r="I144" i="2"/>
  <c r="M144" i="2"/>
  <c r="P144" i="2"/>
  <c r="Q144" i="2"/>
  <c r="R144" i="2"/>
  <c r="K57" i="3"/>
  <c r="K58" i="3"/>
  <c r="K59" i="3"/>
  <c r="L57" i="3"/>
  <c r="L58" i="3"/>
  <c r="L59" i="3"/>
  <c r="N57" i="3"/>
  <c r="N58" i="3"/>
  <c r="N59" i="3"/>
  <c r="I134" i="2"/>
  <c r="M134" i="2"/>
  <c r="P134" i="2"/>
  <c r="Q134" i="2"/>
  <c r="R134" i="2"/>
  <c r="I127" i="2"/>
  <c r="M127" i="2"/>
  <c r="P127" i="2"/>
  <c r="Q127" i="2"/>
  <c r="R127" i="2"/>
  <c r="I128" i="2"/>
  <c r="M128" i="2"/>
  <c r="P128" i="2"/>
  <c r="Q128" i="2"/>
  <c r="R128" i="2"/>
  <c r="I130" i="2"/>
  <c r="M130" i="2"/>
  <c r="P130" i="2"/>
  <c r="Q130" i="2"/>
  <c r="R130" i="2"/>
  <c r="K6" i="3"/>
  <c r="L6" i="3"/>
  <c r="N6" i="3"/>
  <c r="K5" i="3"/>
  <c r="L5" i="3"/>
  <c r="N5" i="3"/>
  <c r="K54" i="3"/>
  <c r="L54" i="3"/>
  <c r="N54" i="3"/>
  <c r="K55" i="3"/>
  <c r="L55" i="3"/>
  <c r="N55" i="3"/>
  <c r="K56" i="3"/>
  <c r="L56" i="3"/>
  <c r="N56" i="3"/>
  <c r="I87" i="2"/>
  <c r="M87" i="2"/>
  <c r="P87" i="2"/>
  <c r="Q87" i="2"/>
  <c r="R87" i="2"/>
  <c r="K8" i="3"/>
  <c r="L8" i="3"/>
  <c r="N8" i="3"/>
  <c r="K9" i="3"/>
  <c r="L9" i="3"/>
  <c r="N9" i="3"/>
  <c r="I67" i="2"/>
  <c r="M67" i="2"/>
  <c r="P67" i="2"/>
  <c r="Q67" i="2"/>
  <c r="R67" i="2"/>
  <c r="P72" i="2"/>
  <c r="Q72" i="2"/>
  <c r="R72" i="2"/>
  <c r="M72" i="2"/>
  <c r="I72" i="2"/>
  <c r="K7" i="3"/>
  <c r="L7" i="3"/>
  <c r="N7" i="3"/>
  <c r="I47" i="2"/>
  <c r="M47" i="2"/>
  <c r="P47" i="2"/>
  <c r="Q47" i="2"/>
  <c r="R47" i="2"/>
  <c r="I49" i="2"/>
  <c r="M49" i="2"/>
  <c r="P49" i="2"/>
  <c r="Q49" i="2"/>
  <c r="R49" i="2"/>
  <c r="I15" i="2"/>
  <c r="M15" i="2"/>
  <c r="P15" i="2"/>
  <c r="Q15" i="2"/>
  <c r="R15" i="2"/>
  <c r="K25" i="3"/>
  <c r="L25" i="3"/>
  <c r="N25" i="3"/>
  <c r="K26" i="3"/>
  <c r="L26" i="3"/>
  <c r="N26" i="3"/>
  <c r="K29" i="3"/>
  <c r="L29" i="3"/>
  <c r="N29" i="3"/>
  <c r="K27" i="3"/>
  <c r="L27" i="3"/>
  <c r="N27" i="3"/>
  <c r="M59" i="3" l="1"/>
  <c r="M55" i="3"/>
  <c r="M58" i="3"/>
  <c r="M57" i="3"/>
  <c r="M6" i="3"/>
  <c r="M56" i="3"/>
  <c r="M5" i="3"/>
  <c r="M54" i="3"/>
  <c r="M9" i="3"/>
  <c r="M8" i="3"/>
  <c r="M7" i="3"/>
  <c r="M26" i="3"/>
  <c r="M25" i="3"/>
  <c r="M29" i="3"/>
  <c r="M27" i="3"/>
  <c r="I26" i="2" l="1"/>
  <c r="M26" i="2"/>
  <c r="P26" i="2"/>
  <c r="Q26" i="2"/>
  <c r="R26" i="2"/>
  <c r="K21" i="3"/>
  <c r="L21" i="3"/>
  <c r="N21" i="3"/>
  <c r="K23" i="3"/>
  <c r="L23" i="3"/>
  <c r="N23" i="3"/>
  <c r="K24" i="3"/>
  <c r="L24" i="3"/>
  <c r="N24" i="3"/>
  <c r="K11" i="3"/>
  <c r="L11" i="3"/>
  <c r="N11" i="3"/>
  <c r="K18" i="3"/>
  <c r="L18" i="3"/>
  <c r="N18" i="3"/>
  <c r="K12" i="3"/>
  <c r="L12" i="3"/>
  <c r="N12" i="3"/>
  <c r="K16" i="3"/>
  <c r="L16" i="3"/>
  <c r="N16" i="3"/>
  <c r="K28" i="3"/>
  <c r="L28" i="3"/>
  <c r="N28" i="3"/>
  <c r="K46" i="3"/>
  <c r="L46" i="3"/>
  <c r="N46" i="3"/>
  <c r="K20" i="3"/>
  <c r="L20" i="3"/>
  <c r="N20" i="3"/>
  <c r="K17" i="3"/>
  <c r="L17" i="3"/>
  <c r="N17" i="3"/>
  <c r="K22" i="3"/>
  <c r="L22" i="3"/>
  <c r="N22" i="3"/>
  <c r="N19" i="3"/>
  <c r="N15" i="3"/>
  <c r="L19" i="3"/>
  <c r="L15" i="3"/>
  <c r="K19" i="3"/>
  <c r="K15" i="3"/>
  <c r="F70" i="3"/>
  <c r="M2" i="2"/>
  <c r="M3" i="2"/>
  <c r="M4" i="2"/>
  <c r="M5" i="2"/>
  <c r="M6" i="2"/>
  <c r="M7" i="2"/>
  <c r="M8" i="2"/>
  <c r="M9" i="2"/>
  <c r="M11" i="2"/>
  <c r="M12" i="2"/>
  <c r="M162" i="2"/>
  <c r="M13" i="2"/>
  <c r="M16" i="2"/>
  <c r="M17" i="2"/>
  <c r="M18" i="2"/>
  <c r="M19" i="2"/>
  <c r="M20" i="2"/>
  <c r="M290" i="2"/>
  <c r="M22" i="2"/>
  <c r="M23" i="2"/>
  <c r="M24" i="2"/>
  <c r="M25" i="2"/>
  <c r="M27" i="2"/>
  <c r="M28" i="2"/>
  <c r="M29" i="2"/>
  <c r="M30" i="2"/>
  <c r="M31" i="2"/>
  <c r="M32" i="2"/>
  <c r="M33" i="2"/>
  <c r="M34" i="2"/>
  <c r="M38" i="2"/>
  <c r="M39" i="2"/>
  <c r="M40" i="2"/>
  <c r="M41" i="2"/>
  <c r="M42" i="2"/>
  <c r="M43" i="2"/>
  <c r="M44" i="2"/>
  <c r="M45" i="2"/>
  <c r="M46" i="2"/>
  <c r="M270" i="2"/>
  <c r="M48" i="2"/>
  <c r="M50" i="2"/>
  <c r="M51" i="2"/>
  <c r="M52" i="2"/>
  <c r="M53" i="2"/>
  <c r="M54" i="2"/>
  <c r="M56" i="2"/>
  <c r="M57" i="2"/>
  <c r="M58" i="2"/>
  <c r="M59" i="2"/>
  <c r="M60" i="2"/>
  <c r="M61" i="2"/>
  <c r="M62" i="2"/>
  <c r="M63" i="2"/>
  <c r="M64" i="2"/>
  <c r="M66" i="2"/>
  <c r="M69" i="2"/>
  <c r="M70" i="2"/>
  <c r="M71" i="2"/>
  <c r="M73" i="2"/>
  <c r="M74" i="2"/>
  <c r="M75" i="2"/>
  <c r="M76" i="2"/>
  <c r="M77" i="2"/>
  <c r="M78" i="2"/>
  <c r="M79" i="2"/>
  <c r="M80" i="2"/>
  <c r="M81" i="2"/>
  <c r="M82" i="2"/>
  <c r="M83" i="2"/>
  <c r="M86" i="2"/>
  <c r="M88" i="2"/>
  <c r="M89" i="2"/>
  <c r="M91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31" i="2"/>
  <c r="M132" i="2"/>
  <c r="M133" i="2"/>
  <c r="M135" i="2"/>
  <c r="M137" i="2"/>
  <c r="M138" i="2"/>
  <c r="M139" i="2"/>
  <c r="M140" i="2"/>
  <c r="M141" i="2"/>
  <c r="M143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3" i="2"/>
  <c r="M164" i="2"/>
  <c r="M165" i="2"/>
  <c r="M166" i="2"/>
  <c r="M167" i="2"/>
  <c r="M168" i="2"/>
  <c r="M169" i="2"/>
  <c r="M170" i="2"/>
  <c r="M171" i="2"/>
  <c r="M173" i="2"/>
  <c r="M174" i="2"/>
  <c r="M175" i="2"/>
  <c r="M176" i="2"/>
  <c r="M177" i="2"/>
  <c r="M179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5" i="2"/>
  <c r="M216" i="2"/>
  <c r="M217" i="2"/>
  <c r="M219" i="2"/>
  <c r="M220" i="2"/>
  <c r="M221" i="2"/>
  <c r="M222" i="2"/>
  <c r="M223" i="2"/>
  <c r="M225" i="2"/>
  <c r="M226" i="2"/>
  <c r="M227" i="2"/>
  <c r="M228" i="2"/>
  <c r="M229" i="2"/>
  <c r="M232" i="2"/>
  <c r="M233" i="2"/>
  <c r="M234" i="2"/>
  <c r="M235" i="2"/>
  <c r="M236" i="2"/>
  <c r="M237" i="2"/>
  <c r="M238" i="2"/>
  <c r="M239" i="2"/>
  <c r="M240" i="2"/>
  <c r="M241" i="2"/>
  <c r="M243" i="2"/>
  <c r="M244" i="2"/>
  <c r="M245" i="2"/>
  <c r="M224" i="2"/>
  <c r="M246" i="2"/>
  <c r="M248" i="2"/>
  <c r="M249" i="2"/>
  <c r="M250" i="2"/>
  <c r="M251" i="2"/>
  <c r="M252" i="2"/>
  <c r="M253" i="2"/>
  <c r="M257" i="2"/>
  <c r="M258" i="2"/>
  <c r="M259" i="2"/>
  <c r="M260" i="2"/>
  <c r="M262" i="2"/>
  <c r="M263" i="2"/>
  <c r="M264" i="2"/>
  <c r="M265" i="2"/>
  <c r="M266" i="2"/>
  <c r="M267" i="2"/>
  <c r="M268" i="2"/>
  <c r="M269" i="2"/>
  <c r="M271" i="2"/>
  <c r="M272" i="2"/>
  <c r="M273" i="2"/>
  <c r="M274" i="2"/>
  <c r="M275" i="2"/>
  <c r="M276" i="2"/>
  <c r="M277" i="2"/>
  <c r="M278" i="2"/>
  <c r="M279" i="2"/>
  <c r="M280" i="2"/>
  <c r="M37" i="2"/>
  <c r="M283" i="2"/>
  <c r="M284" i="2"/>
  <c r="M285" i="2"/>
  <c r="M286" i="2"/>
  <c r="M288" i="2"/>
  <c r="M291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4" i="2"/>
  <c r="M335" i="2"/>
  <c r="M336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8" i="2"/>
  <c r="M359" i="2"/>
  <c r="M360" i="2"/>
  <c r="M361" i="2"/>
  <c r="M247" i="2"/>
  <c r="M362" i="2"/>
  <c r="M363" i="2"/>
  <c r="I2" i="2"/>
  <c r="P2" i="2"/>
  <c r="Q2" i="2"/>
  <c r="R2" i="2"/>
  <c r="I3" i="2"/>
  <c r="P3" i="2"/>
  <c r="Q3" i="2"/>
  <c r="R3" i="2"/>
  <c r="I4" i="2"/>
  <c r="P4" i="2"/>
  <c r="Q4" i="2"/>
  <c r="R4" i="2"/>
  <c r="I5" i="2"/>
  <c r="P5" i="2"/>
  <c r="Q5" i="2"/>
  <c r="R5" i="2"/>
  <c r="I6" i="2"/>
  <c r="P6" i="2"/>
  <c r="Q6" i="2"/>
  <c r="R6" i="2"/>
  <c r="I7" i="2"/>
  <c r="P7" i="2"/>
  <c r="Q7" i="2"/>
  <c r="R7" i="2"/>
  <c r="I8" i="2"/>
  <c r="P8" i="2"/>
  <c r="Q8" i="2"/>
  <c r="R8" i="2"/>
  <c r="I9" i="2"/>
  <c r="P9" i="2"/>
  <c r="Q9" i="2"/>
  <c r="R9" i="2"/>
  <c r="I11" i="2"/>
  <c r="P11" i="2"/>
  <c r="Q11" i="2"/>
  <c r="R11" i="2"/>
  <c r="I12" i="2"/>
  <c r="P12" i="2"/>
  <c r="Q12" i="2"/>
  <c r="R12" i="2"/>
  <c r="I162" i="2"/>
  <c r="P162" i="2"/>
  <c r="Q162" i="2"/>
  <c r="R162" i="2"/>
  <c r="I13" i="2"/>
  <c r="P13" i="2"/>
  <c r="Q13" i="2"/>
  <c r="R13" i="2"/>
  <c r="I16" i="2"/>
  <c r="P16" i="2"/>
  <c r="Q16" i="2"/>
  <c r="R16" i="2"/>
  <c r="I17" i="2"/>
  <c r="P17" i="2"/>
  <c r="Q17" i="2"/>
  <c r="R17" i="2"/>
  <c r="I18" i="2"/>
  <c r="P18" i="2"/>
  <c r="Q18" i="2"/>
  <c r="R18" i="2"/>
  <c r="I19" i="2"/>
  <c r="P19" i="2"/>
  <c r="Q19" i="2"/>
  <c r="R19" i="2"/>
  <c r="I20" i="2"/>
  <c r="P20" i="2"/>
  <c r="Q20" i="2"/>
  <c r="R20" i="2"/>
  <c r="I290" i="2"/>
  <c r="P290" i="2"/>
  <c r="Q290" i="2"/>
  <c r="R290" i="2"/>
  <c r="I22" i="2"/>
  <c r="P22" i="2"/>
  <c r="Q22" i="2"/>
  <c r="R22" i="2"/>
  <c r="I23" i="2"/>
  <c r="P23" i="2"/>
  <c r="Q23" i="2"/>
  <c r="R23" i="2"/>
  <c r="I24" i="2"/>
  <c r="P24" i="2"/>
  <c r="Q24" i="2"/>
  <c r="R24" i="2"/>
  <c r="I25" i="2"/>
  <c r="P25" i="2"/>
  <c r="Q25" i="2"/>
  <c r="R25" i="2"/>
  <c r="I27" i="2"/>
  <c r="P27" i="2"/>
  <c r="Q27" i="2"/>
  <c r="R27" i="2"/>
  <c r="I28" i="2"/>
  <c r="P28" i="2"/>
  <c r="Q28" i="2"/>
  <c r="R28" i="2"/>
  <c r="I29" i="2"/>
  <c r="P29" i="2"/>
  <c r="Q29" i="2"/>
  <c r="R29" i="2"/>
  <c r="I30" i="2"/>
  <c r="P30" i="2"/>
  <c r="Q30" i="2"/>
  <c r="R30" i="2"/>
  <c r="I31" i="2"/>
  <c r="P31" i="2"/>
  <c r="Q31" i="2"/>
  <c r="R31" i="2"/>
  <c r="I32" i="2"/>
  <c r="P32" i="2"/>
  <c r="Q32" i="2"/>
  <c r="R32" i="2"/>
  <c r="I33" i="2"/>
  <c r="P33" i="2"/>
  <c r="Q33" i="2"/>
  <c r="R33" i="2"/>
  <c r="I34" i="2"/>
  <c r="P34" i="2"/>
  <c r="Q34" i="2"/>
  <c r="R34" i="2"/>
  <c r="I38" i="2"/>
  <c r="P38" i="2"/>
  <c r="Q38" i="2"/>
  <c r="R38" i="2"/>
  <c r="I39" i="2"/>
  <c r="P39" i="2"/>
  <c r="Q39" i="2"/>
  <c r="R39" i="2"/>
  <c r="I40" i="2"/>
  <c r="P40" i="2"/>
  <c r="Q40" i="2"/>
  <c r="R40" i="2"/>
  <c r="I41" i="2"/>
  <c r="P41" i="2"/>
  <c r="Q41" i="2"/>
  <c r="R41" i="2"/>
  <c r="I42" i="2"/>
  <c r="P42" i="2"/>
  <c r="Q42" i="2"/>
  <c r="R42" i="2"/>
  <c r="I43" i="2"/>
  <c r="P43" i="2"/>
  <c r="Q43" i="2"/>
  <c r="R43" i="2"/>
  <c r="I44" i="2"/>
  <c r="P44" i="2"/>
  <c r="Q44" i="2"/>
  <c r="R44" i="2"/>
  <c r="I45" i="2"/>
  <c r="P45" i="2"/>
  <c r="Q45" i="2"/>
  <c r="R45" i="2"/>
  <c r="I46" i="2"/>
  <c r="P46" i="2"/>
  <c r="Q46" i="2"/>
  <c r="R46" i="2"/>
  <c r="I270" i="2"/>
  <c r="P270" i="2"/>
  <c r="Q270" i="2"/>
  <c r="R270" i="2"/>
  <c r="I48" i="2"/>
  <c r="P48" i="2"/>
  <c r="Q48" i="2"/>
  <c r="R48" i="2"/>
  <c r="I50" i="2"/>
  <c r="P50" i="2"/>
  <c r="Q50" i="2"/>
  <c r="R50" i="2"/>
  <c r="I51" i="2"/>
  <c r="P51" i="2"/>
  <c r="Q51" i="2"/>
  <c r="R51" i="2"/>
  <c r="I52" i="2"/>
  <c r="P52" i="2"/>
  <c r="Q52" i="2"/>
  <c r="R52" i="2"/>
  <c r="I53" i="2"/>
  <c r="P53" i="2"/>
  <c r="Q53" i="2"/>
  <c r="R53" i="2"/>
  <c r="I54" i="2"/>
  <c r="P54" i="2"/>
  <c r="Q54" i="2"/>
  <c r="R54" i="2"/>
  <c r="I56" i="2"/>
  <c r="P56" i="2"/>
  <c r="Q56" i="2"/>
  <c r="R56" i="2"/>
  <c r="I57" i="2"/>
  <c r="P57" i="2"/>
  <c r="Q57" i="2"/>
  <c r="R57" i="2"/>
  <c r="I58" i="2"/>
  <c r="P58" i="2"/>
  <c r="Q58" i="2"/>
  <c r="R58" i="2"/>
  <c r="I59" i="2"/>
  <c r="P59" i="2"/>
  <c r="Q59" i="2"/>
  <c r="R59" i="2"/>
  <c r="I60" i="2"/>
  <c r="P60" i="2"/>
  <c r="Q60" i="2"/>
  <c r="R60" i="2"/>
  <c r="I61" i="2"/>
  <c r="P61" i="2"/>
  <c r="Q61" i="2"/>
  <c r="R61" i="2"/>
  <c r="I62" i="2"/>
  <c r="P62" i="2"/>
  <c r="Q62" i="2"/>
  <c r="R62" i="2"/>
  <c r="I63" i="2"/>
  <c r="P63" i="2"/>
  <c r="Q63" i="2"/>
  <c r="R63" i="2"/>
  <c r="I64" i="2"/>
  <c r="P64" i="2"/>
  <c r="Q64" i="2"/>
  <c r="R64" i="2"/>
  <c r="I66" i="2"/>
  <c r="P66" i="2"/>
  <c r="Q66" i="2"/>
  <c r="R66" i="2"/>
  <c r="I69" i="2"/>
  <c r="P69" i="2"/>
  <c r="Q69" i="2"/>
  <c r="R69" i="2"/>
  <c r="I70" i="2"/>
  <c r="P70" i="2"/>
  <c r="Q70" i="2"/>
  <c r="R70" i="2"/>
  <c r="I71" i="2"/>
  <c r="P71" i="2"/>
  <c r="Q71" i="2"/>
  <c r="R71" i="2"/>
  <c r="I73" i="2"/>
  <c r="P73" i="2"/>
  <c r="Q73" i="2"/>
  <c r="R73" i="2"/>
  <c r="I74" i="2"/>
  <c r="P74" i="2"/>
  <c r="Q74" i="2"/>
  <c r="R74" i="2"/>
  <c r="I75" i="2"/>
  <c r="P75" i="2"/>
  <c r="Q75" i="2"/>
  <c r="R75" i="2"/>
  <c r="I76" i="2"/>
  <c r="P76" i="2"/>
  <c r="Q76" i="2"/>
  <c r="R76" i="2"/>
  <c r="I77" i="2"/>
  <c r="P77" i="2"/>
  <c r="Q77" i="2"/>
  <c r="R77" i="2"/>
  <c r="I78" i="2"/>
  <c r="P78" i="2"/>
  <c r="Q78" i="2"/>
  <c r="R78" i="2"/>
  <c r="I79" i="2"/>
  <c r="P79" i="2"/>
  <c r="Q79" i="2"/>
  <c r="R79" i="2"/>
  <c r="I80" i="2"/>
  <c r="P80" i="2"/>
  <c r="Q80" i="2"/>
  <c r="R80" i="2"/>
  <c r="I81" i="2"/>
  <c r="P81" i="2"/>
  <c r="Q81" i="2"/>
  <c r="R81" i="2"/>
  <c r="I82" i="2"/>
  <c r="P82" i="2"/>
  <c r="Q82" i="2"/>
  <c r="R82" i="2"/>
  <c r="I83" i="2"/>
  <c r="P83" i="2"/>
  <c r="Q83" i="2"/>
  <c r="R83" i="2"/>
  <c r="I86" i="2"/>
  <c r="P86" i="2"/>
  <c r="Q86" i="2"/>
  <c r="R86" i="2"/>
  <c r="I88" i="2"/>
  <c r="P88" i="2"/>
  <c r="Q88" i="2"/>
  <c r="R88" i="2"/>
  <c r="I89" i="2"/>
  <c r="P89" i="2"/>
  <c r="Q89" i="2"/>
  <c r="R89" i="2"/>
  <c r="I91" i="2"/>
  <c r="P91" i="2"/>
  <c r="Q91" i="2"/>
  <c r="R91" i="2"/>
  <c r="I93" i="2"/>
  <c r="P93" i="2"/>
  <c r="Q93" i="2"/>
  <c r="R93" i="2"/>
  <c r="I94" i="2"/>
  <c r="P94" i="2"/>
  <c r="Q94" i="2"/>
  <c r="R94" i="2"/>
  <c r="I95" i="2"/>
  <c r="P95" i="2"/>
  <c r="Q95" i="2"/>
  <c r="R95" i="2"/>
  <c r="I96" i="2"/>
  <c r="P96" i="2"/>
  <c r="Q96" i="2"/>
  <c r="R96" i="2"/>
  <c r="I97" i="2"/>
  <c r="P97" i="2"/>
  <c r="Q97" i="2"/>
  <c r="R97" i="2"/>
  <c r="I98" i="2"/>
  <c r="P98" i="2"/>
  <c r="Q98" i="2"/>
  <c r="R98" i="2"/>
  <c r="I99" i="2"/>
  <c r="P99" i="2"/>
  <c r="Q99" i="2"/>
  <c r="R99" i="2"/>
  <c r="I100" i="2"/>
  <c r="P100" i="2"/>
  <c r="Q100" i="2"/>
  <c r="R100" i="2"/>
  <c r="I101" i="2"/>
  <c r="P101" i="2"/>
  <c r="Q101" i="2"/>
  <c r="R101" i="2"/>
  <c r="I102" i="2"/>
  <c r="P102" i="2"/>
  <c r="Q102" i="2"/>
  <c r="R102" i="2"/>
  <c r="I103" i="2"/>
  <c r="P103" i="2"/>
  <c r="Q103" i="2"/>
  <c r="R103" i="2"/>
  <c r="I104" i="2"/>
  <c r="P104" i="2"/>
  <c r="Q104" i="2"/>
  <c r="R104" i="2"/>
  <c r="I105" i="2"/>
  <c r="P105" i="2"/>
  <c r="Q105" i="2"/>
  <c r="R105" i="2"/>
  <c r="I106" i="2"/>
  <c r="P106" i="2"/>
  <c r="Q106" i="2"/>
  <c r="R106" i="2"/>
  <c r="I107" i="2"/>
  <c r="P107" i="2"/>
  <c r="Q107" i="2"/>
  <c r="R107" i="2"/>
  <c r="I108" i="2"/>
  <c r="P108" i="2"/>
  <c r="Q108" i="2"/>
  <c r="R108" i="2"/>
  <c r="I109" i="2"/>
  <c r="P109" i="2"/>
  <c r="Q109" i="2"/>
  <c r="R109" i="2"/>
  <c r="I110" i="2"/>
  <c r="P110" i="2"/>
  <c r="Q110" i="2"/>
  <c r="R110" i="2"/>
  <c r="I111" i="2"/>
  <c r="P111" i="2"/>
  <c r="Q111" i="2"/>
  <c r="R111" i="2"/>
  <c r="I112" i="2"/>
  <c r="P112" i="2"/>
  <c r="Q112" i="2"/>
  <c r="R112" i="2"/>
  <c r="I114" i="2"/>
  <c r="P114" i="2"/>
  <c r="Q114" i="2"/>
  <c r="R114" i="2"/>
  <c r="I115" i="2"/>
  <c r="P115" i="2"/>
  <c r="Q115" i="2"/>
  <c r="R115" i="2"/>
  <c r="I116" i="2"/>
  <c r="P116" i="2"/>
  <c r="Q116" i="2"/>
  <c r="R116" i="2"/>
  <c r="I117" i="2"/>
  <c r="P117" i="2"/>
  <c r="Q117" i="2"/>
  <c r="R117" i="2"/>
  <c r="I118" i="2"/>
  <c r="P118" i="2"/>
  <c r="Q118" i="2"/>
  <c r="R118" i="2"/>
  <c r="I119" i="2"/>
  <c r="P119" i="2"/>
  <c r="Q119" i="2"/>
  <c r="R119" i="2"/>
  <c r="I120" i="2"/>
  <c r="P120" i="2"/>
  <c r="Q120" i="2"/>
  <c r="R120" i="2"/>
  <c r="I121" i="2"/>
  <c r="P121" i="2"/>
  <c r="Q121" i="2"/>
  <c r="R121" i="2"/>
  <c r="I122" i="2"/>
  <c r="P122" i="2"/>
  <c r="Q122" i="2"/>
  <c r="R122" i="2"/>
  <c r="I123" i="2"/>
  <c r="P123" i="2"/>
  <c r="Q123" i="2"/>
  <c r="R123" i="2"/>
  <c r="I124" i="2"/>
  <c r="P124" i="2"/>
  <c r="Q124" i="2"/>
  <c r="R124" i="2"/>
  <c r="I125" i="2"/>
  <c r="P125" i="2"/>
  <c r="Q125" i="2"/>
  <c r="R125" i="2"/>
  <c r="I126" i="2"/>
  <c r="P126" i="2"/>
  <c r="Q126" i="2"/>
  <c r="R126" i="2"/>
  <c r="I131" i="2"/>
  <c r="P131" i="2"/>
  <c r="Q131" i="2"/>
  <c r="R131" i="2"/>
  <c r="I132" i="2"/>
  <c r="P132" i="2"/>
  <c r="Q132" i="2"/>
  <c r="R132" i="2"/>
  <c r="I133" i="2"/>
  <c r="P133" i="2"/>
  <c r="Q133" i="2"/>
  <c r="R133" i="2"/>
  <c r="I135" i="2"/>
  <c r="P135" i="2"/>
  <c r="Q135" i="2"/>
  <c r="R135" i="2"/>
  <c r="I137" i="2"/>
  <c r="P137" i="2"/>
  <c r="Q137" i="2"/>
  <c r="R137" i="2"/>
  <c r="I138" i="2"/>
  <c r="P138" i="2"/>
  <c r="Q138" i="2"/>
  <c r="R138" i="2"/>
  <c r="I139" i="2"/>
  <c r="P139" i="2"/>
  <c r="Q139" i="2"/>
  <c r="R139" i="2"/>
  <c r="I140" i="2"/>
  <c r="P140" i="2"/>
  <c r="Q140" i="2"/>
  <c r="R140" i="2"/>
  <c r="I141" i="2"/>
  <c r="P141" i="2"/>
  <c r="Q141" i="2"/>
  <c r="R141" i="2"/>
  <c r="I143" i="2"/>
  <c r="P143" i="2"/>
  <c r="Q143" i="2"/>
  <c r="R143" i="2"/>
  <c r="I145" i="2"/>
  <c r="P145" i="2"/>
  <c r="Q145" i="2"/>
  <c r="R145" i="2"/>
  <c r="I146" i="2"/>
  <c r="P146" i="2"/>
  <c r="Q146" i="2"/>
  <c r="R146" i="2"/>
  <c r="I147" i="2"/>
  <c r="P147" i="2"/>
  <c r="Q147" i="2"/>
  <c r="R147" i="2"/>
  <c r="I148" i="2"/>
  <c r="P148" i="2"/>
  <c r="Q148" i="2"/>
  <c r="R148" i="2"/>
  <c r="I149" i="2"/>
  <c r="P149" i="2"/>
  <c r="Q149" i="2"/>
  <c r="R149" i="2"/>
  <c r="I150" i="2"/>
  <c r="P150" i="2"/>
  <c r="Q150" i="2"/>
  <c r="R150" i="2"/>
  <c r="I151" i="2"/>
  <c r="P151" i="2"/>
  <c r="Q151" i="2"/>
  <c r="R151" i="2"/>
  <c r="I152" i="2"/>
  <c r="P152" i="2"/>
  <c r="Q152" i="2"/>
  <c r="R152" i="2"/>
  <c r="I153" i="2"/>
  <c r="P153" i="2"/>
  <c r="Q153" i="2"/>
  <c r="R153" i="2"/>
  <c r="I154" i="2"/>
  <c r="P154" i="2"/>
  <c r="Q154" i="2"/>
  <c r="R154" i="2"/>
  <c r="I155" i="2"/>
  <c r="P155" i="2"/>
  <c r="Q155" i="2"/>
  <c r="R155" i="2"/>
  <c r="I156" i="2"/>
  <c r="P156" i="2"/>
  <c r="Q156" i="2"/>
  <c r="R156" i="2"/>
  <c r="I157" i="2"/>
  <c r="P157" i="2"/>
  <c r="Q157" i="2"/>
  <c r="R157" i="2"/>
  <c r="I158" i="2"/>
  <c r="P158" i="2"/>
  <c r="Q158" i="2"/>
  <c r="R158" i="2"/>
  <c r="I159" i="2"/>
  <c r="P159" i="2"/>
  <c r="Q159" i="2"/>
  <c r="R159" i="2"/>
  <c r="I160" i="2"/>
  <c r="P160" i="2"/>
  <c r="Q160" i="2"/>
  <c r="R160" i="2"/>
  <c r="I161" i="2"/>
  <c r="P161" i="2"/>
  <c r="Q161" i="2"/>
  <c r="R161" i="2"/>
  <c r="I163" i="2"/>
  <c r="P163" i="2"/>
  <c r="Q163" i="2"/>
  <c r="R163" i="2"/>
  <c r="I164" i="2"/>
  <c r="P164" i="2"/>
  <c r="Q164" i="2"/>
  <c r="R164" i="2"/>
  <c r="I165" i="2"/>
  <c r="P165" i="2"/>
  <c r="Q165" i="2"/>
  <c r="R165" i="2"/>
  <c r="I166" i="2"/>
  <c r="P166" i="2"/>
  <c r="Q166" i="2"/>
  <c r="R166" i="2"/>
  <c r="I167" i="2"/>
  <c r="P167" i="2"/>
  <c r="Q167" i="2"/>
  <c r="R167" i="2"/>
  <c r="I168" i="2"/>
  <c r="P168" i="2"/>
  <c r="Q168" i="2"/>
  <c r="R168" i="2"/>
  <c r="I169" i="2"/>
  <c r="P169" i="2"/>
  <c r="Q169" i="2"/>
  <c r="R169" i="2"/>
  <c r="I170" i="2"/>
  <c r="P170" i="2"/>
  <c r="Q170" i="2"/>
  <c r="R170" i="2"/>
  <c r="I171" i="2"/>
  <c r="P171" i="2"/>
  <c r="Q171" i="2"/>
  <c r="R171" i="2"/>
  <c r="I173" i="2"/>
  <c r="P173" i="2"/>
  <c r="Q173" i="2"/>
  <c r="R173" i="2"/>
  <c r="I174" i="2"/>
  <c r="P174" i="2"/>
  <c r="Q174" i="2"/>
  <c r="R174" i="2"/>
  <c r="I175" i="2"/>
  <c r="P175" i="2"/>
  <c r="Q175" i="2"/>
  <c r="R175" i="2"/>
  <c r="I176" i="2"/>
  <c r="P176" i="2"/>
  <c r="Q176" i="2"/>
  <c r="R176" i="2"/>
  <c r="I177" i="2"/>
  <c r="P177" i="2"/>
  <c r="Q177" i="2"/>
  <c r="R177" i="2"/>
  <c r="P178" i="2"/>
  <c r="Q178" i="2"/>
  <c r="R178" i="2"/>
  <c r="I179" i="2"/>
  <c r="P179" i="2"/>
  <c r="Q179" i="2"/>
  <c r="R179" i="2"/>
  <c r="P180" i="2"/>
  <c r="Q180" i="2"/>
  <c r="R180" i="2"/>
  <c r="I181" i="2"/>
  <c r="P181" i="2"/>
  <c r="Q181" i="2"/>
  <c r="R181" i="2"/>
  <c r="I182" i="2"/>
  <c r="P182" i="2"/>
  <c r="Q182" i="2"/>
  <c r="R182" i="2"/>
  <c r="I183" i="2"/>
  <c r="P183" i="2"/>
  <c r="Q183" i="2"/>
  <c r="R183" i="2"/>
  <c r="I184" i="2"/>
  <c r="P184" i="2"/>
  <c r="Q184" i="2"/>
  <c r="R184" i="2"/>
  <c r="I185" i="2"/>
  <c r="P185" i="2"/>
  <c r="Q185" i="2"/>
  <c r="R185" i="2"/>
  <c r="I186" i="2"/>
  <c r="P186" i="2"/>
  <c r="Q186" i="2"/>
  <c r="R186" i="2"/>
  <c r="I187" i="2"/>
  <c r="P187" i="2"/>
  <c r="Q187" i="2"/>
  <c r="R187" i="2"/>
  <c r="I188" i="2"/>
  <c r="P188" i="2"/>
  <c r="Q188" i="2"/>
  <c r="R188" i="2"/>
  <c r="I189" i="2"/>
  <c r="P189" i="2"/>
  <c r="Q189" i="2"/>
  <c r="R189" i="2"/>
  <c r="I190" i="2"/>
  <c r="P190" i="2"/>
  <c r="Q190" i="2"/>
  <c r="R190" i="2"/>
  <c r="I191" i="2"/>
  <c r="P191" i="2"/>
  <c r="Q191" i="2"/>
  <c r="R191" i="2"/>
  <c r="I192" i="2"/>
  <c r="P192" i="2"/>
  <c r="Q192" i="2"/>
  <c r="R192" i="2"/>
  <c r="I194" i="2"/>
  <c r="P194" i="2"/>
  <c r="Q194" i="2"/>
  <c r="R194" i="2"/>
  <c r="I195" i="2"/>
  <c r="P195" i="2"/>
  <c r="Q195" i="2"/>
  <c r="R195" i="2"/>
  <c r="I196" i="2"/>
  <c r="P196" i="2"/>
  <c r="Q196" i="2"/>
  <c r="R196" i="2"/>
  <c r="I197" i="2"/>
  <c r="P197" i="2"/>
  <c r="Q197" i="2"/>
  <c r="R197" i="2"/>
  <c r="I198" i="2"/>
  <c r="P198" i="2"/>
  <c r="Q198" i="2"/>
  <c r="R198" i="2"/>
  <c r="I199" i="2"/>
  <c r="P199" i="2"/>
  <c r="Q199" i="2"/>
  <c r="R199" i="2"/>
  <c r="I200" i="2"/>
  <c r="P200" i="2"/>
  <c r="Q200" i="2"/>
  <c r="R200" i="2"/>
  <c r="I201" i="2"/>
  <c r="P201" i="2"/>
  <c r="Q201" i="2"/>
  <c r="R201" i="2"/>
  <c r="I202" i="2"/>
  <c r="P202" i="2"/>
  <c r="Q202" i="2"/>
  <c r="R202" i="2"/>
  <c r="I203" i="2"/>
  <c r="P203" i="2"/>
  <c r="Q203" i="2"/>
  <c r="R203" i="2"/>
  <c r="I204" i="2"/>
  <c r="P204" i="2"/>
  <c r="Q204" i="2"/>
  <c r="R204" i="2"/>
  <c r="I205" i="2"/>
  <c r="P205" i="2"/>
  <c r="Q205" i="2"/>
  <c r="R205" i="2"/>
  <c r="I206" i="2"/>
  <c r="P206" i="2"/>
  <c r="Q206" i="2"/>
  <c r="R206" i="2"/>
  <c r="I207" i="2"/>
  <c r="P207" i="2"/>
  <c r="Q207" i="2"/>
  <c r="R207" i="2"/>
  <c r="I208" i="2"/>
  <c r="P208" i="2"/>
  <c r="Q208" i="2"/>
  <c r="R208" i="2"/>
  <c r="I209" i="2"/>
  <c r="P209" i="2"/>
  <c r="Q209" i="2"/>
  <c r="R209" i="2"/>
  <c r="I210" i="2"/>
  <c r="P210" i="2"/>
  <c r="Q210" i="2"/>
  <c r="R210" i="2"/>
  <c r="I211" i="2"/>
  <c r="P211" i="2"/>
  <c r="Q211" i="2"/>
  <c r="R211" i="2"/>
  <c r="I212" i="2"/>
  <c r="P212" i="2"/>
  <c r="Q212" i="2"/>
  <c r="R212" i="2"/>
  <c r="I215" i="2"/>
  <c r="P215" i="2"/>
  <c r="Q215" i="2"/>
  <c r="R215" i="2"/>
  <c r="I216" i="2"/>
  <c r="P216" i="2"/>
  <c r="Q216" i="2"/>
  <c r="R216" i="2"/>
  <c r="I217" i="2"/>
  <c r="P217" i="2"/>
  <c r="Q217" i="2"/>
  <c r="R217" i="2"/>
  <c r="I219" i="2"/>
  <c r="P219" i="2"/>
  <c r="Q219" i="2"/>
  <c r="R219" i="2"/>
  <c r="I220" i="2"/>
  <c r="P220" i="2"/>
  <c r="Q220" i="2"/>
  <c r="R220" i="2"/>
  <c r="I221" i="2"/>
  <c r="P221" i="2"/>
  <c r="Q221" i="2"/>
  <c r="R221" i="2"/>
  <c r="I222" i="2"/>
  <c r="P222" i="2"/>
  <c r="Q222" i="2"/>
  <c r="R222" i="2"/>
  <c r="I223" i="2"/>
  <c r="P223" i="2"/>
  <c r="Q223" i="2"/>
  <c r="R223" i="2"/>
  <c r="I225" i="2"/>
  <c r="P225" i="2"/>
  <c r="Q225" i="2"/>
  <c r="R225" i="2"/>
  <c r="I226" i="2"/>
  <c r="P226" i="2"/>
  <c r="Q226" i="2"/>
  <c r="R226" i="2"/>
  <c r="I227" i="2"/>
  <c r="P227" i="2"/>
  <c r="Q227" i="2"/>
  <c r="R227" i="2"/>
  <c r="I228" i="2"/>
  <c r="P228" i="2"/>
  <c r="Q228" i="2"/>
  <c r="R228" i="2"/>
  <c r="I229" i="2"/>
  <c r="P229" i="2"/>
  <c r="Q229" i="2"/>
  <c r="R229" i="2"/>
  <c r="I230" i="2"/>
  <c r="P230" i="2"/>
  <c r="Q230" i="2"/>
  <c r="R230" i="2"/>
  <c r="I231" i="2"/>
  <c r="P231" i="2"/>
  <c r="Q231" i="2"/>
  <c r="R231" i="2"/>
  <c r="I232" i="2"/>
  <c r="P232" i="2"/>
  <c r="Q232" i="2"/>
  <c r="R232" i="2"/>
  <c r="I233" i="2"/>
  <c r="P233" i="2"/>
  <c r="Q233" i="2"/>
  <c r="R233" i="2"/>
  <c r="I234" i="2"/>
  <c r="P234" i="2"/>
  <c r="Q234" i="2"/>
  <c r="R234" i="2"/>
  <c r="I235" i="2"/>
  <c r="P235" i="2"/>
  <c r="Q235" i="2"/>
  <c r="R235" i="2"/>
  <c r="I236" i="2"/>
  <c r="P236" i="2"/>
  <c r="Q236" i="2"/>
  <c r="R236" i="2"/>
  <c r="I237" i="2"/>
  <c r="P237" i="2"/>
  <c r="Q237" i="2"/>
  <c r="R237" i="2"/>
  <c r="I238" i="2"/>
  <c r="P238" i="2"/>
  <c r="Q238" i="2"/>
  <c r="R238" i="2"/>
  <c r="I239" i="2"/>
  <c r="P239" i="2"/>
  <c r="Q239" i="2"/>
  <c r="R239" i="2"/>
  <c r="I240" i="2"/>
  <c r="P240" i="2"/>
  <c r="Q240" i="2"/>
  <c r="R240" i="2"/>
  <c r="I241" i="2"/>
  <c r="P241" i="2"/>
  <c r="Q241" i="2"/>
  <c r="R241" i="2"/>
  <c r="I243" i="2"/>
  <c r="P243" i="2"/>
  <c r="Q243" i="2"/>
  <c r="R243" i="2"/>
  <c r="I244" i="2"/>
  <c r="P244" i="2"/>
  <c r="Q244" i="2"/>
  <c r="R244" i="2"/>
  <c r="I245" i="2"/>
  <c r="P245" i="2"/>
  <c r="Q245" i="2"/>
  <c r="R245" i="2"/>
  <c r="I224" i="2"/>
  <c r="P224" i="2"/>
  <c r="Q224" i="2"/>
  <c r="R224" i="2"/>
  <c r="I246" i="2"/>
  <c r="P246" i="2"/>
  <c r="Q246" i="2"/>
  <c r="R246" i="2"/>
  <c r="I248" i="2"/>
  <c r="P248" i="2"/>
  <c r="Q248" i="2"/>
  <c r="R248" i="2"/>
  <c r="I249" i="2"/>
  <c r="P249" i="2"/>
  <c r="Q249" i="2"/>
  <c r="R249" i="2"/>
  <c r="I250" i="2"/>
  <c r="P250" i="2"/>
  <c r="Q250" i="2"/>
  <c r="R250" i="2"/>
  <c r="I251" i="2"/>
  <c r="P251" i="2"/>
  <c r="Q251" i="2"/>
  <c r="R251" i="2"/>
  <c r="I252" i="2"/>
  <c r="P252" i="2"/>
  <c r="Q252" i="2"/>
  <c r="R252" i="2"/>
  <c r="I253" i="2"/>
  <c r="P253" i="2"/>
  <c r="Q253" i="2"/>
  <c r="R253" i="2"/>
  <c r="I257" i="2"/>
  <c r="P257" i="2"/>
  <c r="Q257" i="2"/>
  <c r="R257" i="2"/>
  <c r="I258" i="2"/>
  <c r="P258" i="2"/>
  <c r="Q258" i="2"/>
  <c r="R258" i="2"/>
  <c r="I259" i="2"/>
  <c r="P259" i="2"/>
  <c r="Q259" i="2"/>
  <c r="R259" i="2"/>
  <c r="I260" i="2"/>
  <c r="P260" i="2"/>
  <c r="Q260" i="2"/>
  <c r="R260" i="2"/>
  <c r="I262" i="2"/>
  <c r="P262" i="2"/>
  <c r="Q262" i="2"/>
  <c r="R262" i="2"/>
  <c r="I263" i="2"/>
  <c r="P263" i="2"/>
  <c r="Q263" i="2"/>
  <c r="R263" i="2"/>
  <c r="I264" i="2"/>
  <c r="P264" i="2"/>
  <c r="Q264" i="2"/>
  <c r="R264" i="2"/>
  <c r="I265" i="2"/>
  <c r="P265" i="2"/>
  <c r="Q265" i="2"/>
  <c r="R265" i="2"/>
  <c r="I266" i="2"/>
  <c r="P266" i="2"/>
  <c r="Q266" i="2"/>
  <c r="R266" i="2"/>
  <c r="I267" i="2"/>
  <c r="P267" i="2"/>
  <c r="Q267" i="2"/>
  <c r="R267" i="2"/>
  <c r="I268" i="2"/>
  <c r="P268" i="2"/>
  <c r="Q268" i="2"/>
  <c r="R268" i="2"/>
  <c r="I269" i="2"/>
  <c r="P269" i="2"/>
  <c r="Q269" i="2"/>
  <c r="R269" i="2"/>
  <c r="I271" i="2"/>
  <c r="P271" i="2"/>
  <c r="Q271" i="2"/>
  <c r="R271" i="2"/>
  <c r="I272" i="2"/>
  <c r="P272" i="2"/>
  <c r="Q272" i="2"/>
  <c r="R272" i="2"/>
  <c r="I273" i="2"/>
  <c r="P273" i="2"/>
  <c r="Q273" i="2"/>
  <c r="R273" i="2"/>
  <c r="I274" i="2"/>
  <c r="P274" i="2"/>
  <c r="Q274" i="2"/>
  <c r="R274" i="2"/>
  <c r="I275" i="2"/>
  <c r="P275" i="2"/>
  <c r="Q275" i="2"/>
  <c r="R275" i="2"/>
  <c r="I276" i="2"/>
  <c r="P276" i="2"/>
  <c r="Q276" i="2"/>
  <c r="R276" i="2"/>
  <c r="I277" i="2"/>
  <c r="P277" i="2"/>
  <c r="Q277" i="2"/>
  <c r="R277" i="2"/>
  <c r="I278" i="2"/>
  <c r="P278" i="2"/>
  <c r="Q278" i="2"/>
  <c r="R278" i="2"/>
  <c r="I279" i="2"/>
  <c r="P279" i="2"/>
  <c r="Q279" i="2"/>
  <c r="R279" i="2"/>
  <c r="I280" i="2"/>
  <c r="P280" i="2"/>
  <c r="Q280" i="2"/>
  <c r="R280" i="2"/>
  <c r="I37" i="2"/>
  <c r="P37" i="2"/>
  <c r="Q37" i="2"/>
  <c r="R37" i="2"/>
  <c r="I282" i="2"/>
  <c r="P282" i="2"/>
  <c r="Q282" i="2"/>
  <c r="R282" i="2"/>
  <c r="I283" i="2"/>
  <c r="P283" i="2"/>
  <c r="Q283" i="2"/>
  <c r="R283" i="2"/>
  <c r="I284" i="2"/>
  <c r="P284" i="2"/>
  <c r="Q284" i="2"/>
  <c r="R284" i="2"/>
  <c r="I285" i="2"/>
  <c r="P285" i="2"/>
  <c r="Q285" i="2"/>
  <c r="R285" i="2"/>
  <c r="I286" i="2"/>
  <c r="P286" i="2"/>
  <c r="Q286" i="2"/>
  <c r="R286" i="2"/>
  <c r="I288" i="2"/>
  <c r="P288" i="2"/>
  <c r="Q288" i="2"/>
  <c r="R288" i="2"/>
  <c r="I291" i="2"/>
  <c r="P291" i="2"/>
  <c r="Q291" i="2"/>
  <c r="R291" i="2"/>
  <c r="I293" i="2"/>
  <c r="P293" i="2"/>
  <c r="Q293" i="2"/>
  <c r="R293" i="2"/>
  <c r="I294" i="2"/>
  <c r="P294" i="2"/>
  <c r="Q294" i="2"/>
  <c r="R294" i="2"/>
  <c r="I295" i="2"/>
  <c r="P295" i="2"/>
  <c r="Q295" i="2"/>
  <c r="R295" i="2"/>
  <c r="I296" i="2"/>
  <c r="P296" i="2"/>
  <c r="Q296" i="2"/>
  <c r="R296" i="2"/>
  <c r="I297" i="2"/>
  <c r="P297" i="2"/>
  <c r="Q297" i="2"/>
  <c r="R297" i="2"/>
  <c r="I298" i="2"/>
  <c r="P298" i="2"/>
  <c r="Q298" i="2"/>
  <c r="R298" i="2"/>
  <c r="I299" i="2"/>
  <c r="P299" i="2"/>
  <c r="Q299" i="2"/>
  <c r="R299" i="2"/>
  <c r="I300" i="2"/>
  <c r="P300" i="2"/>
  <c r="Q300" i="2"/>
  <c r="R300" i="2"/>
  <c r="I301" i="2"/>
  <c r="P301" i="2"/>
  <c r="Q301" i="2"/>
  <c r="R301" i="2"/>
  <c r="I302" i="2"/>
  <c r="P302" i="2"/>
  <c r="Q302" i="2"/>
  <c r="R302" i="2"/>
  <c r="I303" i="2"/>
  <c r="P303" i="2"/>
  <c r="Q303" i="2"/>
  <c r="R303" i="2"/>
  <c r="I304" i="2"/>
  <c r="P304" i="2"/>
  <c r="Q304" i="2"/>
  <c r="R304" i="2"/>
  <c r="I305" i="2"/>
  <c r="P305" i="2"/>
  <c r="Q305" i="2"/>
  <c r="R305" i="2"/>
  <c r="I306" i="2"/>
  <c r="P306" i="2"/>
  <c r="Q306" i="2"/>
  <c r="R306" i="2"/>
  <c r="I307" i="2"/>
  <c r="P307" i="2"/>
  <c r="Q307" i="2"/>
  <c r="R307" i="2"/>
  <c r="I308" i="2"/>
  <c r="P308" i="2"/>
  <c r="Q308" i="2"/>
  <c r="R308" i="2"/>
  <c r="I309" i="2"/>
  <c r="P309" i="2"/>
  <c r="Q309" i="2"/>
  <c r="R309" i="2"/>
  <c r="I310" i="2"/>
  <c r="P310" i="2"/>
  <c r="Q310" i="2"/>
  <c r="R310" i="2"/>
  <c r="I311" i="2"/>
  <c r="P311" i="2"/>
  <c r="Q311" i="2"/>
  <c r="R311" i="2"/>
  <c r="I312" i="2"/>
  <c r="P312" i="2"/>
  <c r="Q312" i="2"/>
  <c r="R312" i="2"/>
  <c r="I313" i="2"/>
  <c r="P313" i="2"/>
  <c r="Q313" i="2"/>
  <c r="R313" i="2"/>
  <c r="I314" i="2"/>
  <c r="P314" i="2"/>
  <c r="Q314" i="2"/>
  <c r="R314" i="2"/>
  <c r="I315" i="2"/>
  <c r="P315" i="2"/>
  <c r="Q315" i="2"/>
  <c r="R315" i="2"/>
  <c r="I316" i="2"/>
  <c r="P316" i="2"/>
  <c r="Q316" i="2"/>
  <c r="R316" i="2"/>
  <c r="I317" i="2"/>
  <c r="P317" i="2"/>
  <c r="Q317" i="2"/>
  <c r="R317" i="2"/>
  <c r="I318" i="2"/>
  <c r="P318" i="2"/>
  <c r="Q318" i="2"/>
  <c r="R318" i="2"/>
  <c r="I319" i="2"/>
  <c r="P319" i="2"/>
  <c r="Q319" i="2"/>
  <c r="R319" i="2"/>
  <c r="I320" i="2"/>
  <c r="P320" i="2"/>
  <c r="Q320" i="2"/>
  <c r="R320" i="2"/>
  <c r="I321" i="2"/>
  <c r="P321" i="2"/>
  <c r="Q321" i="2"/>
  <c r="R321" i="2"/>
  <c r="I322" i="2"/>
  <c r="P322" i="2"/>
  <c r="Q322" i="2"/>
  <c r="R322" i="2"/>
  <c r="I323" i="2"/>
  <c r="P323" i="2"/>
  <c r="Q323" i="2"/>
  <c r="R323" i="2"/>
  <c r="I324" i="2"/>
  <c r="P324" i="2"/>
  <c r="Q324" i="2"/>
  <c r="R324" i="2"/>
  <c r="I325" i="2"/>
  <c r="P325" i="2"/>
  <c r="Q325" i="2"/>
  <c r="R325" i="2"/>
  <c r="I326" i="2"/>
  <c r="P326" i="2"/>
  <c r="Q326" i="2"/>
  <c r="R326" i="2"/>
  <c r="I327" i="2"/>
  <c r="P327" i="2"/>
  <c r="Q327" i="2"/>
  <c r="R327" i="2"/>
  <c r="I328" i="2"/>
  <c r="P328" i="2"/>
  <c r="Q328" i="2"/>
  <c r="R328" i="2"/>
  <c r="I329" i="2"/>
  <c r="P329" i="2"/>
  <c r="Q329" i="2"/>
  <c r="R329" i="2"/>
  <c r="I330" i="2"/>
  <c r="P330" i="2"/>
  <c r="Q330" i="2"/>
  <c r="R330" i="2"/>
  <c r="I334" i="2"/>
  <c r="P334" i="2"/>
  <c r="Q334" i="2"/>
  <c r="R334" i="2"/>
  <c r="I335" i="2"/>
  <c r="P335" i="2"/>
  <c r="Q335" i="2"/>
  <c r="R335" i="2"/>
  <c r="I336" i="2"/>
  <c r="P336" i="2"/>
  <c r="Q336" i="2"/>
  <c r="R336" i="2"/>
  <c r="I338" i="2"/>
  <c r="P338" i="2"/>
  <c r="Q338" i="2"/>
  <c r="R338" i="2"/>
  <c r="I339" i="2"/>
  <c r="P339" i="2"/>
  <c r="Q339" i="2"/>
  <c r="R339" i="2"/>
  <c r="I340" i="2"/>
  <c r="P340" i="2"/>
  <c r="Q340" i="2"/>
  <c r="R340" i="2"/>
  <c r="I341" i="2"/>
  <c r="P341" i="2"/>
  <c r="Q341" i="2"/>
  <c r="R341" i="2"/>
  <c r="I342" i="2"/>
  <c r="P342" i="2"/>
  <c r="Q342" i="2"/>
  <c r="R342" i="2"/>
  <c r="I343" i="2"/>
  <c r="P343" i="2"/>
  <c r="Q343" i="2"/>
  <c r="R343" i="2"/>
  <c r="I344" i="2"/>
  <c r="P344" i="2"/>
  <c r="Q344" i="2"/>
  <c r="R344" i="2"/>
  <c r="I345" i="2"/>
  <c r="P345" i="2"/>
  <c r="Q345" i="2"/>
  <c r="R345" i="2"/>
  <c r="I346" i="2"/>
  <c r="P346" i="2"/>
  <c r="Q346" i="2"/>
  <c r="R346" i="2"/>
  <c r="I347" i="2"/>
  <c r="P347" i="2"/>
  <c r="Q347" i="2"/>
  <c r="R347" i="2"/>
  <c r="I348" i="2"/>
  <c r="P348" i="2"/>
  <c r="Q348" i="2"/>
  <c r="R348" i="2"/>
  <c r="I349" i="2"/>
  <c r="P349" i="2"/>
  <c r="Q349" i="2"/>
  <c r="R349" i="2"/>
  <c r="I350" i="2"/>
  <c r="P350" i="2"/>
  <c r="Q350" i="2"/>
  <c r="R350" i="2"/>
  <c r="I351" i="2"/>
  <c r="P351" i="2"/>
  <c r="Q351" i="2"/>
  <c r="R351" i="2"/>
  <c r="I352" i="2"/>
  <c r="P352" i="2"/>
  <c r="Q352" i="2"/>
  <c r="R352" i="2"/>
  <c r="I353" i="2"/>
  <c r="P353" i="2"/>
  <c r="Q353" i="2"/>
  <c r="R353" i="2"/>
  <c r="I354" i="2"/>
  <c r="P354" i="2"/>
  <c r="Q354" i="2"/>
  <c r="R354" i="2"/>
  <c r="I355" i="2"/>
  <c r="P355" i="2"/>
  <c r="Q355" i="2"/>
  <c r="R355" i="2"/>
  <c r="I356" i="2"/>
  <c r="P356" i="2"/>
  <c r="Q356" i="2"/>
  <c r="R356" i="2"/>
  <c r="I358" i="2"/>
  <c r="P358" i="2"/>
  <c r="Q358" i="2"/>
  <c r="R358" i="2"/>
  <c r="I359" i="2"/>
  <c r="P359" i="2"/>
  <c r="Q359" i="2"/>
  <c r="R359" i="2"/>
  <c r="I360" i="2"/>
  <c r="P360" i="2"/>
  <c r="Q360" i="2"/>
  <c r="R360" i="2"/>
  <c r="I361" i="2"/>
  <c r="P361" i="2"/>
  <c r="Q361" i="2"/>
  <c r="R361" i="2"/>
  <c r="I247" i="2"/>
  <c r="P247" i="2"/>
  <c r="Q247" i="2"/>
  <c r="R247" i="2"/>
  <c r="I362" i="2"/>
  <c r="P362" i="2"/>
  <c r="Q362" i="2"/>
  <c r="R362" i="2"/>
  <c r="I363" i="2"/>
  <c r="P363" i="2"/>
  <c r="Q363" i="2"/>
  <c r="R363" i="2"/>
  <c r="M435" i="2" l="1"/>
  <c r="I435" i="2"/>
  <c r="M15" i="3"/>
  <c r="N70" i="3"/>
  <c r="L70" i="3"/>
  <c r="M24" i="3"/>
  <c r="M19" i="3"/>
  <c r="M11" i="3"/>
  <c r="M46" i="3"/>
  <c r="M18" i="3"/>
  <c r="K70" i="3"/>
  <c r="M23" i="3"/>
  <c r="M21" i="3"/>
  <c r="M17" i="3"/>
  <c r="M16" i="3"/>
  <c r="M22" i="3"/>
  <c r="M20" i="3"/>
  <c r="M28" i="3"/>
  <c r="M12" i="3"/>
  <c r="M70" i="3" l="1"/>
</calcChain>
</file>

<file path=xl/sharedStrings.xml><?xml version="1.0" encoding="utf-8"?>
<sst xmlns="http://schemas.openxmlformats.org/spreadsheetml/2006/main" count="4021" uniqueCount="681">
  <si>
    <t>CLUB</t>
  </si>
  <si>
    <t>LEADERSHIP</t>
  </si>
  <si>
    <t>ROLE</t>
  </si>
  <si>
    <t>NO</t>
  </si>
  <si>
    <t>PLAYER NAME</t>
  </si>
  <si>
    <t>POS</t>
  </si>
  <si>
    <t>OTHER POS</t>
  </si>
  <si>
    <t>DOB</t>
  </si>
  <si>
    <t>AGE</t>
  </si>
  <si>
    <t>Signed for</t>
  </si>
  <si>
    <t>Market 
Value</t>
  </si>
  <si>
    <t>Salary/
Week</t>
  </si>
  <si>
    <t>Salary/
Year</t>
  </si>
  <si>
    <t>Transfer
 Date</t>
  </si>
  <si>
    <t>Contract End</t>
  </si>
  <si>
    <t>Years 
At</t>
  </si>
  <si>
    <t>Years 
Left</t>
  </si>
  <si>
    <t>Months Left</t>
  </si>
  <si>
    <t>M</t>
  </si>
  <si>
    <t>G</t>
  </si>
  <si>
    <t>A</t>
  </si>
  <si>
    <t>PREFERRED FOOT</t>
  </si>
  <si>
    <t>Joe Redknapp</t>
  </si>
  <si>
    <t>GK</t>
  </si>
  <si>
    <t>Age</t>
  </si>
  <si>
    <t>LB</t>
  </si>
  <si>
    <t>CB</t>
  </si>
  <si>
    <t>RB</t>
  </si>
  <si>
    <t>CDM</t>
  </si>
  <si>
    <t>CM</t>
  </si>
  <si>
    <t>CAM</t>
  </si>
  <si>
    <t>ST</t>
  </si>
  <si>
    <t>LW</t>
  </si>
  <si>
    <t>LM</t>
  </si>
  <si>
    <t>SS</t>
  </si>
  <si>
    <t>RW</t>
  </si>
  <si>
    <t>RM</t>
  </si>
  <si>
    <t>LWB</t>
  </si>
  <si>
    <t>RWB</t>
  </si>
  <si>
    <t>LAM</t>
  </si>
  <si>
    <t>RAM</t>
  </si>
  <si>
    <t>Uditon</t>
  </si>
  <si>
    <t>Dani Bellan</t>
  </si>
  <si>
    <t>Fokaăr</t>
  </si>
  <si>
    <t>Fonal Frances</t>
  </si>
  <si>
    <t>Tyrell Rohan</t>
  </si>
  <si>
    <t>Hunő Grant</t>
  </si>
  <si>
    <t>A. Captain</t>
  </si>
  <si>
    <t>Jared Gomer</t>
  </si>
  <si>
    <t>Melokh Gideon</t>
  </si>
  <si>
    <t>Jean Cselios</t>
  </si>
  <si>
    <t>Henry Vternski</t>
  </si>
  <si>
    <t>Vintor Vinncinto</t>
  </si>
  <si>
    <t>Alpha Maůn</t>
  </si>
  <si>
    <t>Gauvin Zalo</t>
  </si>
  <si>
    <t>Hunan Lizurtan</t>
  </si>
  <si>
    <t>Angel Donald</t>
  </si>
  <si>
    <t>Captain</t>
  </si>
  <si>
    <t>Duane Rokariĉ</t>
  </si>
  <si>
    <t>Sian Caprike</t>
  </si>
  <si>
    <t>Coupey-Daniels</t>
  </si>
  <si>
    <t>Mikro Vitro</t>
  </si>
  <si>
    <t>Colen Goyle-Jr</t>
  </si>
  <si>
    <t>Colin Carlaman</t>
  </si>
  <si>
    <t>William Bernard</t>
  </si>
  <si>
    <t>Roy Yuvida</t>
  </si>
  <si>
    <t>Claw</t>
  </si>
  <si>
    <t>Lewin Josin</t>
  </si>
  <si>
    <t>Ednar Alecharv</t>
  </si>
  <si>
    <t>Tolei Lecuevё</t>
  </si>
  <si>
    <t>Grantędd</t>
  </si>
  <si>
    <t>Michael Tickley</t>
  </si>
  <si>
    <t>Alvin Scorford</t>
  </si>
  <si>
    <t>William D'Colen</t>
  </si>
  <si>
    <t>Carl Tœvoda</t>
  </si>
  <si>
    <t>Zachary Dičkon</t>
  </si>
  <si>
    <t>Justin Olemba</t>
  </si>
  <si>
    <t>Wilson Urida</t>
  </si>
  <si>
    <t>Pisconso Amacad</t>
  </si>
  <si>
    <t>Baron Siljan</t>
  </si>
  <si>
    <t>Potreli Chinukwe</t>
  </si>
  <si>
    <t>Caut Mayoderoki</t>
  </si>
  <si>
    <t>Nair Hunő</t>
  </si>
  <si>
    <t>Cruz Maetulo</t>
  </si>
  <si>
    <t>Mivez Jose</t>
  </si>
  <si>
    <t>Arnell Duch</t>
  </si>
  <si>
    <t>Carl Sieman</t>
  </si>
  <si>
    <t>Zivez Daniso</t>
  </si>
  <si>
    <t>Paul De Coupey</t>
  </si>
  <si>
    <t>Jacob Lendye</t>
  </si>
  <si>
    <t>Farson Willord</t>
  </si>
  <si>
    <t>Pearls</t>
  </si>
  <si>
    <t>Quinten Swertch</t>
  </si>
  <si>
    <t>Justin Couls</t>
  </si>
  <si>
    <t>Edward Tipō</t>
  </si>
  <si>
    <t>Juan Massey</t>
  </si>
  <si>
    <t>Francis Bonadi</t>
  </si>
  <si>
    <t>Henry Urimba</t>
  </si>
  <si>
    <t>Shrek Mobellě</t>
  </si>
  <si>
    <t>Ashton Bee</t>
  </si>
  <si>
    <t>Davis Portroy</t>
  </si>
  <si>
    <t>Varnell Xoćringt</t>
  </si>
  <si>
    <t>Miles Goodley</t>
  </si>
  <si>
    <t>Elon Cuveź</t>
  </si>
  <si>
    <t>Ken Shaddy</t>
  </si>
  <si>
    <t>Akram Letong'o</t>
  </si>
  <si>
    <t>Yimmy Dexter Sichens</t>
  </si>
  <si>
    <t>Felix Aăntrope</t>
  </si>
  <si>
    <t>Hillary Monzade</t>
  </si>
  <si>
    <t>Liam Arick</t>
  </si>
  <si>
    <t>Charlton Gonn</t>
  </si>
  <si>
    <t>Wesse Mbamba</t>
  </si>
  <si>
    <t>Perćy Luka</t>
  </si>
  <si>
    <t>Job Zader</t>
  </si>
  <si>
    <t>Natrican</t>
  </si>
  <si>
    <t>Mijjer Kalistus</t>
  </si>
  <si>
    <t>Paul Rantěk</t>
  </si>
  <si>
    <t>Moses Saint-Allan</t>
  </si>
  <si>
    <t>Francis Sesina</t>
  </si>
  <si>
    <t>Laban Duimarsch</t>
  </si>
  <si>
    <t>Ellie Steward</t>
  </si>
  <si>
    <t>Donny Boimę</t>
  </si>
  <si>
    <t>Joe Berv</t>
  </si>
  <si>
    <t>Jordan Kyllan</t>
  </si>
  <si>
    <t>Nashan Gwum</t>
  </si>
  <si>
    <t>Ben Ruhsen</t>
  </si>
  <si>
    <t>Brandell Ron</t>
  </si>
  <si>
    <t>Filip Sŷson</t>
  </si>
  <si>
    <t>Brianz Majonzie</t>
  </si>
  <si>
    <t>Tovar Charlton</t>
  </si>
  <si>
    <t>Mohammed Youda</t>
  </si>
  <si>
    <t>Danso Potwemi</t>
  </si>
  <si>
    <t>Rodney Esinda</t>
  </si>
  <si>
    <t>Pablo Antares</t>
  </si>
  <si>
    <t>Victor Benley</t>
  </si>
  <si>
    <t>Jacques Ilomba</t>
  </si>
  <si>
    <t>Mark Randolph</t>
  </si>
  <si>
    <t>Denis Doxel</t>
  </si>
  <si>
    <t>Steven Caliso</t>
  </si>
  <si>
    <t>Lige-8</t>
  </si>
  <si>
    <t>Paul Edas</t>
  </si>
  <si>
    <t>Wesan Wecu</t>
  </si>
  <si>
    <t>Benard Vuwo Urida</t>
  </si>
  <si>
    <t>Velam Oechan</t>
  </si>
  <si>
    <t>Dan Manel</t>
  </si>
  <si>
    <t>Marcet Di Roselle</t>
  </si>
  <si>
    <t>Mavin J Nesch</t>
  </si>
  <si>
    <t>Hicke Leraint</t>
  </si>
  <si>
    <t>John Pesićko</t>
  </si>
  <si>
    <t>Paul Kilman</t>
  </si>
  <si>
    <t>Elvis Gedarda</t>
  </si>
  <si>
    <t>Cryfton Jumacca</t>
  </si>
  <si>
    <t>Skilov Ceshech</t>
  </si>
  <si>
    <t>Brighs Jonathan</t>
  </si>
  <si>
    <t>Moses Kopǿnsenme</t>
  </si>
  <si>
    <t>Jovan Codi</t>
  </si>
  <si>
    <t>Sezzi Parkinson</t>
  </si>
  <si>
    <t>Engin Warder</t>
  </si>
  <si>
    <t>Elias Tavren</t>
  </si>
  <si>
    <t>Lee Jordan</t>
  </si>
  <si>
    <t>Victor Onyeka</t>
  </si>
  <si>
    <t>Archangel San-Joseρ</t>
  </si>
  <si>
    <t>Alfred Damian</t>
  </si>
  <si>
    <t>Triumpher</t>
  </si>
  <si>
    <t>Andrew Garle</t>
  </si>
  <si>
    <t>Fred Jollä</t>
  </si>
  <si>
    <t>Vincent Philsend</t>
  </si>
  <si>
    <t>Kiawdo Andre</t>
  </si>
  <si>
    <t>Sik Darmote</t>
  </si>
  <si>
    <t>Jenson Morphes</t>
  </si>
  <si>
    <t>Garvey Hoinart</t>
  </si>
  <si>
    <t>Hans Crishtian</t>
  </si>
  <si>
    <t>Dona Vousev</t>
  </si>
  <si>
    <t>Lewis Xoban</t>
  </si>
  <si>
    <t>Michael Kersě</t>
  </si>
  <si>
    <t>Victor Stoph</t>
  </si>
  <si>
    <t>John Slirson</t>
  </si>
  <si>
    <t>Zack Chalven</t>
  </si>
  <si>
    <t>Moses Garner</t>
  </si>
  <si>
    <t>Tony Coupey</t>
  </si>
  <si>
    <t>Jovan Jochёr</t>
  </si>
  <si>
    <t>Caya Tlipa</t>
  </si>
  <si>
    <t>Wang Hee Jo</t>
  </si>
  <si>
    <t>Hill Prosper</t>
  </si>
  <si>
    <t>Zachery Worth</t>
  </si>
  <si>
    <t>Creg Nlova</t>
  </si>
  <si>
    <t>Play City</t>
  </si>
  <si>
    <t>Hans Nigel</t>
  </si>
  <si>
    <t>Capitel</t>
  </si>
  <si>
    <t>Franc Armallesĳ</t>
  </si>
  <si>
    <t>Nick Pol</t>
  </si>
  <si>
    <t>Marko Guilson</t>
  </si>
  <si>
    <t>Van Lee</t>
  </si>
  <si>
    <t>Tyler Krievier</t>
  </si>
  <si>
    <t>Balban Nicksen</t>
  </si>
  <si>
    <t>Danso Castro</t>
  </si>
  <si>
    <t>Allan Rodgers</t>
  </si>
  <si>
    <t>Rodney Ligener</t>
  </si>
  <si>
    <t>Woer Jesse</t>
  </si>
  <si>
    <t>Segan Ealong</t>
  </si>
  <si>
    <t>Rems Hābiud</t>
  </si>
  <si>
    <t>Jack Đaven</t>
  </si>
  <si>
    <t>Marko Rovia</t>
  </si>
  <si>
    <t>Rendy Jr</t>
  </si>
  <si>
    <t>Luis Campton</t>
  </si>
  <si>
    <t>Tim Jonasić</t>
  </si>
  <si>
    <t>Onike Lisim</t>
  </si>
  <si>
    <t>Mikey Somren</t>
  </si>
  <si>
    <t>Denis Frankart</t>
  </si>
  <si>
    <t>Junior Merdec</t>
  </si>
  <si>
    <t>Red Wolves</t>
  </si>
  <si>
    <t>Pablo Maieras</t>
  </si>
  <si>
    <t>Sevlo T.</t>
  </si>
  <si>
    <t>Dexter Køe</t>
  </si>
  <si>
    <t>Jo Palyck</t>
  </si>
  <si>
    <t>Pals Kackŷ</t>
  </si>
  <si>
    <t>Zipo Timstone</t>
  </si>
  <si>
    <t>Phillip Nuran</t>
  </si>
  <si>
    <t>Dumac Daven</t>
  </si>
  <si>
    <t>Willi Kićh</t>
  </si>
  <si>
    <t>Jony Rigann</t>
  </si>
  <si>
    <t>Paul Emeka</t>
  </si>
  <si>
    <t>Floart Zakari</t>
  </si>
  <si>
    <t>Willem Stoph</t>
  </si>
  <si>
    <t>Quintten Robeź</t>
  </si>
  <si>
    <t>Varsen Aunzellan</t>
  </si>
  <si>
    <t>Jonas Banarķ</t>
  </si>
  <si>
    <t>Pang</t>
  </si>
  <si>
    <t>Millvan</t>
  </si>
  <si>
    <t>Francis Dućźè</t>
  </si>
  <si>
    <t>Hans Misźich</t>
  </si>
  <si>
    <t>Seane Wellington</t>
  </si>
  <si>
    <t>Seane Bellind</t>
  </si>
  <si>
    <t>Jarda Clintbell</t>
  </si>
  <si>
    <t>Benardo Zico</t>
  </si>
  <si>
    <t>Souze Maod</t>
  </si>
  <si>
    <t>Telbey</t>
  </si>
  <si>
    <t>Joey Farńez</t>
  </si>
  <si>
    <t>Sik Darmon</t>
  </si>
  <si>
    <t>Nor Ahman</t>
  </si>
  <si>
    <t>Don Karsey</t>
  </si>
  <si>
    <t>Nal Mahn</t>
  </si>
  <si>
    <t>Krim Srević</t>
  </si>
  <si>
    <t>Adam Juleć</t>
  </si>
  <si>
    <t>Mose Gredon</t>
  </si>
  <si>
    <t>Colin Buma</t>
  </si>
  <si>
    <t>Victor Blessing</t>
  </si>
  <si>
    <t>Ruda Hallέ</t>
  </si>
  <si>
    <t>Garley Taç</t>
  </si>
  <si>
    <t>Orley Valence</t>
  </si>
  <si>
    <t>Roy Steupŷ</t>
  </si>
  <si>
    <t>Kinez Bald</t>
  </si>
  <si>
    <t>Printan De Lonbert</t>
  </si>
  <si>
    <t>Lartem Caliůre</t>
  </si>
  <si>
    <t>Davis Jordanson</t>
  </si>
  <si>
    <t>Allan Kirangi</t>
  </si>
  <si>
    <t>Charles Leston</t>
  </si>
  <si>
    <t>Avan Sikas</t>
  </si>
  <si>
    <t>Jowry Barvey</t>
  </si>
  <si>
    <t>Lokambo-Jarah</t>
  </si>
  <si>
    <t>Justice</t>
  </si>
  <si>
    <t>Roy Giveth</t>
  </si>
  <si>
    <t>B. Gary</t>
  </si>
  <si>
    <t>Lesley Lehton</t>
  </si>
  <si>
    <t>Van Skimms</t>
  </si>
  <si>
    <t>Abdeen Akra</t>
  </si>
  <si>
    <t>Joṃ Mulov</t>
  </si>
  <si>
    <t>Nathan Opaz</t>
  </si>
  <si>
    <t>Marlen Levik</t>
  </si>
  <si>
    <t>Lovri Paresy</t>
  </si>
  <si>
    <t>Joni Dueĺĺ</t>
  </si>
  <si>
    <t>Judas Marh</t>
  </si>
  <si>
    <t>Ryan Drummont</t>
  </si>
  <si>
    <t>Paul Weston</t>
  </si>
  <si>
    <t>Kim Beno</t>
  </si>
  <si>
    <t>Golev Kiußs</t>
  </si>
  <si>
    <t>Owen Devin Stan</t>
  </si>
  <si>
    <t>Rayan Victor Jam¢s</t>
  </si>
  <si>
    <t>Carlo Voven</t>
  </si>
  <si>
    <t>Bunei Jill</t>
  </si>
  <si>
    <t>Chris Livre</t>
  </si>
  <si>
    <t>Jion Masel</t>
  </si>
  <si>
    <t>Basel Coudey</t>
  </si>
  <si>
    <t>Tryox City</t>
  </si>
  <si>
    <t>Miguel Senior</t>
  </si>
  <si>
    <t>Rahab Michael</t>
  </si>
  <si>
    <t>Gabriel Jinker</t>
  </si>
  <si>
    <t>Nad Billian</t>
  </si>
  <si>
    <t>Cartrioy</t>
  </si>
  <si>
    <t>Dan Mirov</t>
  </si>
  <si>
    <t>Kayimbe John</t>
  </si>
  <si>
    <t>Kivin Solem</t>
  </si>
  <si>
    <t>Shadrac Milima</t>
  </si>
  <si>
    <t>Voss Allen Ambert</t>
  </si>
  <si>
    <t>Jakob Naiř</t>
  </si>
  <si>
    <t>Hóam Frugar</t>
  </si>
  <si>
    <t>Sinai Branton</t>
  </si>
  <si>
    <t>Raphael Rağe</t>
  </si>
  <si>
    <t>Ushton Aaron</t>
  </si>
  <si>
    <t>Newmań</t>
  </si>
  <si>
    <t>Nick Sîdd</t>
  </si>
  <si>
    <t>Andrew Brad</t>
  </si>
  <si>
    <t>Roger Dano</t>
  </si>
  <si>
    <t>Jim Weid</t>
  </si>
  <si>
    <t>Patrick Chalep</t>
  </si>
  <si>
    <t>Oxton</t>
  </si>
  <si>
    <t>Kal Grett</t>
  </si>
  <si>
    <t>Tim Alphus</t>
  </si>
  <si>
    <t>Lewis Driutt</t>
  </si>
  <si>
    <t>Keivn Freeman</t>
  </si>
  <si>
    <t>Aaron Zian</t>
  </si>
  <si>
    <t>Ednar Pekisc</t>
  </si>
  <si>
    <t>Sheamer Jacobs</t>
  </si>
  <si>
    <t>Rob Mardalov</t>
  </si>
  <si>
    <t>Henry Marko</t>
  </si>
  <si>
    <t>Lim Brown</t>
  </si>
  <si>
    <t>Carl Cadzey</t>
  </si>
  <si>
    <t>Daniel Omrey</t>
  </si>
  <si>
    <t>Mirev Jr</t>
  </si>
  <si>
    <t>Kaman Verda</t>
  </si>
  <si>
    <t>Alpha Juan</t>
  </si>
  <si>
    <t>Robin Fred-Pibar</t>
  </si>
  <si>
    <t>Janiz</t>
  </si>
  <si>
    <t>Pedro Mashon</t>
  </si>
  <si>
    <t>Adel Trover</t>
  </si>
  <si>
    <t>Wigan Williams</t>
  </si>
  <si>
    <t>Jake Jivan</t>
  </si>
  <si>
    <t>Trendboys</t>
  </si>
  <si>
    <t>D. John</t>
  </si>
  <si>
    <t>Molen Ben</t>
  </si>
  <si>
    <t>Elvis Rodek</t>
  </si>
  <si>
    <t>Julian Xavier-Henrey</t>
  </si>
  <si>
    <t>Haszick</t>
  </si>
  <si>
    <t>Karl Jelubison</t>
  </si>
  <si>
    <t>Juve Grantedd</t>
  </si>
  <si>
    <t>Alistar</t>
  </si>
  <si>
    <t>Lupley Unchii</t>
  </si>
  <si>
    <t>Ronge Goshem</t>
  </si>
  <si>
    <t>Alphonce Riter</t>
  </si>
  <si>
    <t>Cohes Bango</t>
  </si>
  <si>
    <t>Trey Wilis</t>
  </si>
  <si>
    <t>Howard Duart</t>
  </si>
  <si>
    <t>Melaz Simman</t>
  </si>
  <si>
    <t>José</t>
  </si>
  <si>
    <t>Alfred Beloy</t>
  </si>
  <si>
    <t>Harry Twenson</t>
  </si>
  <si>
    <t>Zaddoc Meloche</t>
  </si>
  <si>
    <t>Fred Gimson</t>
  </si>
  <si>
    <t>Juve Pitreć</t>
  </si>
  <si>
    <t>Marcet Tickley</t>
  </si>
  <si>
    <t>Club Chovers</t>
  </si>
  <si>
    <t>Jerry Farmo</t>
  </si>
  <si>
    <t>Jay Marcet</t>
  </si>
  <si>
    <t>Mark Kurfth</t>
  </si>
  <si>
    <t>Weems Boeru</t>
  </si>
  <si>
    <t>Ayle Moosh</t>
  </si>
  <si>
    <t>Kiené</t>
  </si>
  <si>
    <t>Cedrik Lane</t>
  </si>
  <si>
    <t>Brighton Dubois</t>
  </si>
  <si>
    <t>Milo Shúrz</t>
  </si>
  <si>
    <t>Kom Dåak</t>
  </si>
  <si>
    <t>Noman Norem</t>
  </si>
  <si>
    <t>Allan Fripo</t>
  </si>
  <si>
    <t>Callan Kiŕo</t>
  </si>
  <si>
    <t>Henry Mioriugnam</t>
  </si>
  <si>
    <t>Nelson Cóeysan</t>
  </si>
  <si>
    <t>Nace Dockets</t>
  </si>
  <si>
    <t>Johnny Beldt</t>
  </si>
  <si>
    <t>Allen Burdem</t>
  </si>
  <si>
    <t>Benson Depo</t>
  </si>
  <si>
    <t>Ernest Kaliso</t>
  </si>
  <si>
    <t>Seafcea</t>
  </si>
  <si>
    <t>Mikkel Brantov</t>
  </si>
  <si>
    <t>Sander Vellnick</t>
  </si>
  <si>
    <t>Jarno Kivell</t>
  </si>
  <si>
    <t>Diederik Franća</t>
  </si>
  <si>
    <t>Lars Trovic</t>
  </si>
  <si>
    <t>Oskar Drent</t>
  </si>
  <si>
    <t>Viktor Malden</t>
  </si>
  <si>
    <t>Nils Jorkill</t>
  </si>
  <si>
    <t>Jelle Ancet</t>
  </si>
  <si>
    <t>Mikko Vellin </t>
  </si>
  <si>
    <t>Pelle Hulio</t>
  </si>
  <si>
    <t>Sven Kartan</t>
  </si>
  <si>
    <t>Henrik Donoi</t>
  </si>
  <si>
    <t>Aron Phillian</t>
  </si>
  <si>
    <t>Tomasz Oswald</t>
  </si>
  <si>
    <t>Ludo Tyler</t>
  </si>
  <si>
    <t>Joris Kirev</t>
  </si>
  <si>
    <t>Viktor Vancliff</t>
  </si>
  <si>
    <t>Nils-Erik Dornell</t>
  </si>
  <si>
    <t>Jarno Branston</t>
  </si>
  <si>
    <t>Diederik Malcovic</t>
  </si>
  <si>
    <t>Omar Seet</t>
  </si>
  <si>
    <t>Lars Andritz</t>
  </si>
  <si>
    <t>Oskar Amos</t>
  </si>
  <si>
    <t>Left</t>
  </si>
  <si>
    <t>Right</t>
  </si>
  <si>
    <t>Both</t>
  </si>
  <si>
    <t>Total</t>
  </si>
  <si>
    <t>First-Team</t>
  </si>
  <si>
    <t>Second-Team</t>
  </si>
  <si>
    <t>Third-Team</t>
  </si>
  <si>
    <t>TRANSFERS</t>
  </si>
  <si>
    <t>FROM CLUB</t>
  </si>
  <si>
    <t>TO CLUB</t>
  </si>
  <si>
    <t>FEE</t>
  </si>
  <si>
    <t>Transfer Date</t>
  </si>
  <si>
    <t>Wages</t>
  </si>
  <si>
    <t>Age at Transfer</t>
  </si>
  <si>
    <t>Contract</t>
  </si>
  <si>
    <t>Pos</t>
  </si>
  <si>
    <t>Age at Contract End</t>
  </si>
  <si>
    <t>Adveece</t>
  </si>
  <si>
    <t>Golev</t>
  </si>
  <si>
    <t>Tigersharks</t>
  </si>
  <si>
    <t>SPECIALTY</t>
  </si>
  <si>
    <t>hard_tackler, press_leader</t>
  </si>
  <si>
    <t>distribution_gk</t>
  </si>
  <si>
    <t>Amaloptoraźvo</t>
  </si>
  <si>
    <t>Allburn</t>
  </si>
  <si>
    <t>Owen Låwitre</t>
  </si>
  <si>
    <t>JNO</t>
  </si>
  <si>
    <t>Nils-Erik Dornic</t>
  </si>
  <si>
    <t>Juri Denlair</t>
  </si>
  <si>
    <t>-</t>
  </si>
  <si>
    <t>Joli Arenza</t>
  </si>
  <si>
    <t>Dovtre Jr</t>
  </si>
  <si>
    <t>Doarley</t>
  </si>
  <si>
    <t>Jacob Sento</t>
  </si>
  <si>
    <t>Tyler Madden</t>
  </si>
  <si>
    <t>Daniel Gregory</t>
  </si>
  <si>
    <t>Vicor Dene</t>
  </si>
  <si>
    <t>Julius D'Cielle</t>
  </si>
  <si>
    <t>Huier Cestopher</t>
  </si>
  <si>
    <t>Garvin Tross</t>
  </si>
  <si>
    <t>Brim City</t>
  </si>
  <si>
    <t>Rudi Malcovic</t>
  </si>
  <si>
    <t>Jelle Vanport</t>
  </si>
  <si>
    <t>Mikko Branshawe</t>
  </si>
  <si>
    <t>Viktor Brans</t>
  </si>
  <si>
    <t>Patrick Muptey</t>
  </si>
  <si>
    <t>Agrey Vviķ</t>
  </si>
  <si>
    <t>Lyndall Hensé</t>
  </si>
  <si>
    <t>Buelton</t>
  </si>
  <si>
    <t>Junior Swertch</t>
  </si>
  <si>
    <t>Artem Morfes</t>
  </si>
  <si>
    <t>Barbell Craid</t>
  </si>
  <si>
    <t>Corey Duch</t>
  </si>
  <si>
    <t>Ueda Aiochi</t>
  </si>
  <si>
    <t>Filip Coydan</t>
  </si>
  <si>
    <t>Micha Scott</t>
  </si>
  <si>
    <t>Sdyivk Ankov</t>
  </si>
  <si>
    <t>Ashton Kande</t>
  </si>
  <si>
    <t>Erustus</t>
  </si>
  <si>
    <t>Quinter Norčh</t>
  </si>
  <si>
    <t>Erian Divine</t>
  </si>
  <si>
    <t>Tael Wika</t>
  </si>
  <si>
    <t>Ty France</t>
  </si>
  <si>
    <t>Rodney Qucone</t>
  </si>
  <si>
    <t>S.I Ponters</t>
  </si>
  <si>
    <t>Davis Vella</t>
  </si>
  <si>
    <t>Cavu Alexander</t>
  </si>
  <si>
    <t>set_piece_defender</t>
  </si>
  <si>
    <t>ball_playing_cb</t>
  </si>
  <si>
    <t>sweeper_cb</t>
  </si>
  <si>
    <t>two_footed</t>
  </si>
  <si>
    <t>interceptor</t>
  </si>
  <si>
    <t>overlapping_fullback</t>
  </si>
  <si>
    <t>dirty_player, tactical_fouler</t>
  </si>
  <si>
    <t>strong</t>
  </si>
  <si>
    <t>strong, interceptor</t>
  </si>
  <si>
    <t>passer, press_breaker, workhorse</t>
  </si>
  <si>
    <t>ball_carrier</t>
  </si>
  <si>
    <t>aerial_threat, fox_in_box</t>
  </si>
  <si>
    <t>press_breaker</t>
  </si>
  <si>
    <t>grand_creator, dribbler, workhorse, set_piece_specialist</t>
  </si>
  <si>
    <t>creator</t>
  </si>
  <si>
    <t>creator, long_shot_taker</t>
  </si>
  <si>
    <t>sup_vision</t>
  </si>
  <si>
    <t>poacher, fox_in_box, showman, discipline</t>
  </si>
  <si>
    <t>press_leader</t>
  </si>
  <si>
    <t>counter_attacker</t>
  </si>
  <si>
    <t>showman</t>
  </si>
  <si>
    <t>nutmeg_king</t>
  </si>
  <si>
    <t>nutmeg_king, speedster, counter_attacker</t>
  </si>
  <si>
    <t>ball_playing_cb, no_nonsense_cb,  sweeper_cb, one_v_one_defender</t>
  </si>
  <si>
    <t>one_v_one_defender</t>
  </si>
  <si>
    <t>ball_playing_cb, one_v_one_defender</t>
  </si>
  <si>
    <t>creator, counter_attacker, crosser</t>
  </si>
  <si>
    <t>engine</t>
  </si>
  <si>
    <t>playmaker, passer</t>
  </si>
  <si>
    <t>deep_lying_forward</t>
  </si>
  <si>
    <t>clinical</t>
  </si>
  <si>
    <t>foul_drawer</t>
  </si>
  <si>
    <t>foul_drawer, discipline</t>
  </si>
  <si>
    <t>sweeper_keeper</t>
  </si>
  <si>
    <t>ball_recycler</t>
  </si>
  <si>
    <t>passer, regista</t>
  </si>
  <si>
    <t>workhorse</t>
  </si>
  <si>
    <t>speedster, showman</t>
  </si>
  <si>
    <t>long_shot_taker, creator, crosser, shooter, set_piece_specialist, counter_attacker</t>
  </si>
  <si>
    <t>speedster, super_sub</t>
  </si>
  <si>
    <t>shooter, injury_prone</t>
  </si>
  <si>
    <t>fox_in_box</t>
  </si>
  <si>
    <t>passer, creator, crosser, late_runner</t>
  </si>
  <si>
    <t>stopper_defender, no_nonsense_cb, tactical_fouler</t>
  </si>
  <si>
    <t>set_piece_defender, no_nonsense_cb</t>
  </si>
  <si>
    <t>strong, hard_tackler, dirty_player, interceptor, blocker</t>
  </si>
  <si>
    <t>press_resistant</t>
  </si>
  <si>
    <t>regista, engine, two_footed</t>
  </si>
  <si>
    <t>set_piece_specialist</t>
  </si>
  <si>
    <t>creator, late_runner, dribbler</t>
  </si>
  <si>
    <t>dribbler, nutmeg_king</t>
  </si>
  <si>
    <t>box_crasher</t>
  </si>
  <si>
    <t>tactical_fouler</t>
  </si>
  <si>
    <t>shooter, target_man, showman, long_shot_taker</t>
  </si>
  <si>
    <t>grand_dribbler, creator, foul_drawer, nutmeg_king, two_footed</t>
  </si>
  <si>
    <t>underlapping_fullback</t>
  </si>
  <si>
    <t>blocker</t>
  </si>
  <si>
    <t>ball_playing_cb, box_crasher</t>
  </si>
  <si>
    <t>creator, passer</t>
  </si>
  <si>
    <t>passer</t>
  </si>
  <si>
    <t>ball_progressor</t>
  </si>
  <si>
    <t>dirty_player, super_sub</t>
  </si>
  <si>
    <t>creator, passer, sup_vision, set_piece_specialist</t>
  </si>
  <si>
    <t>inverted</t>
  </si>
  <si>
    <t>creator, pressing_forward, fox_in_box</t>
  </si>
  <si>
    <t>strong, creator, aggressive_fullback</t>
  </si>
  <si>
    <t>ball_winner</t>
  </si>
  <si>
    <t>ironman</t>
  </si>
  <si>
    <t>passer, regista, set_piece_specialist</t>
  </si>
  <si>
    <t>late_runner</t>
  </si>
  <si>
    <t>passer, creator</t>
  </si>
  <si>
    <t>creator, dribbler</t>
  </si>
  <si>
    <t>crosser</t>
  </si>
  <si>
    <t>dirty_player</t>
  </si>
  <si>
    <t>aggressive_fullback</t>
  </si>
  <si>
    <t>ball_carrier, press_breaker</t>
  </si>
  <si>
    <t>regista</t>
  </si>
  <si>
    <t>creator, deep_lying_forward</t>
  </si>
  <si>
    <t>pressing_forward</t>
  </si>
  <si>
    <t>volley_expert</t>
  </si>
  <si>
    <t>speedster, crosser, pressing_forward</t>
  </si>
  <si>
    <t>Yannick Vorshell</t>
  </si>
  <si>
    <t>Noim Ekei</t>
  </si>
  <si>
    <t>Griffo Jr</t>
  </si>
  <si>
    <t>Moffart Randier</t>
  </si>
  <si>
    <t>Gard Elkana</t>
  </si>
  <si>
    <t>Ervin Schuffer</t>
  </si>
  <si>
    <t>Alexander Podach</t>
  </si>
  <si>
    <t>Firun Sdevif</t>
  </si>
  <si>
    <t>Solem Ripan</t>
  </si>
  <si>
    <t>Valle Doxel</t>
  </si>
  <si>
    <t>two_footed, super_sub</t>
  </si>
  <si>
    <t>NATIONALITY</t>
  </si>
  <si>
    <t>Avada Zenith</t>
  </si>
  <si>
    <t>Rodice</t>
  </si>
  <si>
    <t>Joakob Masuley</t>
  </si>
  <si>
    <t>Suigey Aloyce</t>
  </si>
  <si>
    <t>Tyrone Catcher</t>
  </si>
  <si>
    <t>Ernest Michael</t>
  </si>
  <si>
    <t>William Diuda</t>
  </si>
  <si>
    <t>Wevan Powett</t>
  </si>
  <si>
    <t>Oba Daniels</t>
  </si>
  <si>
    <t>Quintin Forvik</t>
  </si>
  <si>
    <t>Ganester</t>
  </si>
  <si>
    <t>Allan Campstone</t>
  </si>
  <si>
    <t>Moen</t>
  </si>
  <si>
    <t>shooter, creator, big_game_player</t>
  </si>
  <si>
    <t>Julian Lingĺ</t>
  </si>
  <si>
    <t>SI Ponters</t>
  </si>
  <si>
    <t>LOAN</t>
  </si>
  <si>
    <t>creator, shooter</t>
  </si>
  <si>
    <t>Nǿǿxy</t>
  </si>
  <si>
    <t>Renet</t>
  </si>
  <si>
    <t>Arnold Masty</t>
  </si>
  <si>
    <t>Joni Anders</t>
  </si>
  <si>
    <t>Willy Jervand</t>
  </si>
  <si>
    <t>Carlos Salav</t>
  </si>
  <si>
    <t>Yashmin Dengry</t>
  </si>
  <si>
    <t>Servin Uze Jr</t>
  </si>
  <si>
    <t>Victor Otieno Oloo</t>
  </si>
  <si>
    <t>Poresh Hanz David</t>
  </si>
  <si>
    <t>Ajun Sawulu</t>
  </si>
  <si>
    <t>Fredy Farbi</t>
  </si>
  <si>
    <t>Orti Theubacham</t>
  </si>
  <si>
    <t>Ochoa Alejandro</t>
  </si>
  <si>
    <t>Tony Durwen</t>
  </si>
  <si>
    <t>Erivon Derçarov</t>
  </si>
  <si>
    <t>Espina Survan</t>
  </si>
  <si>
    <t>Kilman Trover</t>
  </si>
  <si>
    <t>Arel Nouama</t>
  </si>
  <si>
    <t>Alvin Sitman Kido</t>
  </si>
  <si>
    <t>Reina James</t>
  </si>
  <si>
    <t>Pablo V.</t>
  </si>
  <si>
    <t>Henry Sauga</t>
  </si>
  <si>
    <t>Rico Stryuik</t>
  </si>
  <si>
    <t>Henry Enoca</t>
  </si>
  <si>
    <t>Judas Suamba</t>
  </si>
  <si>
    <t>Jonn Duoby</t>
  </si>
  <si>
    <t>Sena Tiplou</t>
  </si>
  <si>
    <t>Paul Mikro</t>
  </si>
  <si>
    <t>Justin Lutumba</t>
  </si>
  <si>
    <t>Simon Sebi</t>
  </si>
  <si>
    <t>Carvil Druŋ</t>
  </si>
  <si>
    <t>Bevil Danšo</t>
  </si>
  <si>
    <t>Devin Artem</t>
  </si>
  <si>
    <t>Baron Yulima</t>
  </si>
  <si>
    <t>Xavier D'Bella</t>
  </si>
  <si>
    <t>Cruz Pirez</t>
  </si>
  <si>
    <t>Harry Melo</t>
  </si>
  <si>
    <t>Leyton Vergol</t>
  </si>
  <si>
    <t>Gilbert Waxley</t>
  </si>
  <si>
    <t>Caelan Rustoh</t>
  </si>
  <si>
    <t>Wes Brimley</t>
  </si>
  <si>
    <t>Fintan Meade</t>
  </si>
  <si>
    <t>Shea Kilbride</t>
  </si>
  <si>
    <t>Conor Laffey</t>
  </si>
  <si>
    <t>Declan Harte</t>
  </si>
  <si>
    <t>Colm Dennehy</t>
  </si>
  <si>
    <t>Darragh Healy</t>
  </si>
  <si>
    <t>Donal O'Cahn</t>
  </si>
  <si>
    <t>Osmar Rehling</t>
  </si>
  <si>
    <t>Dermot Hanley</t>
  </si>
  <si>
    <t>Kellan Vosch</t>
  </si>
  <si>
    <t>Pierce Dalby</t>
  </si>
  <si>
    <t>Jensen Alder</t>
  </si>
  <si>
    <t>Lorcan Driscoll</t>
  </si>
  <si>
    <t>Eamon Greal</t>
  </si>
  <si>
    <t>Cillian D'Frello</t>
  </si>
  <si>
    <t>Niall Bohan</t>
  </si>
  <si>
    <t>Oisin Fennelly</t>
  </si>
  <si>
    <t>Ronan Mulvehill</t>
  </si>
  <si>
    <t>Kieran Gannon</t>
  </si>
  <si>
    <t>Troy Bervilĵ</t>
  </si>
  <si>
    <t>Finian Dażo</t>
  </si>
  <si>
    <t>Matchday</t>
  </si>
  <si>
    <t>Date</t>
  </si>
  <si>
    <t>Home</t>
  </si>
  <si>
    <t>Away</t>
  </si>
  <si>
    <t>Venue</t>
  </si>
  <si>
    <t>Zenith Arena</t>
  </si>
  <si>
    <t>Ganester Park</t>
  </si>
  <si>
    <t>Rodice Field</t>
  </si>
  <si>
    <t>Natrican Stadium</t>
  </si>
  <si>
    <t>Oxland City</t>
  </si>
  <si>
    <t>Play Football Arena</t>
  </si>
  <si>
    <t>FC Chovers City Stadium</t>
  </si>
  <si>
    <t>Capacity</t>
  </si>
  <si>
    <t>The Ranch</t>
  </si>
  <si>
    <t>TB Legend's Stadium</t>
  </si>
  <si>
    <t>Telbey Fountain City</t>
  </si>
  <si>
    <t>West 1977 City</t>
  </si>
  <si>
    <t>Valley of Toland</t>
  </si>
  <si>
    <t>Murray Stadium</t>
  </si>
  <si>
    <t>Triumph Park</t>
  </si>
  <si>
    <t>Unity Stadium</t>
  </si>
  <si>
    <t>White Pearl</t>
  </si>
  <si>
    <t>The Den</t>
  </si>
  <si>
    <t>Udi-park</t>
  </si>
  <si>
    <t>dribbler, nutmeg_king, creator</t>
  </si>
  <si>
    <t>Lewis-John Ribo</t>
  </si>
  <si>
    <t>FCTP2</t>
  </si>
  <si>
    <t>Davi Wǘnder</t>
  </si>
  <si>
    <t>Attendance</t>
  </si>
  <si>
    <t>box_box, box_crasher, foul_drawer, ball_carrier, interceptor, workhorse, passer</t>
  </si>
  <si>
    <t>aerial_threat, set_piece_defender, strong</t>
  </si>
  <si>
    <t>Freoť Vance</t>
  </si>
  <si>
    <t>nutmeg_king, creator</t>
  </si>
  <si>
    <t>late_runner, passer</t>
  </si>
  <si>
    <t>PLAYED</t>
  </si>
  <si>
    <t>COMPLETED</t>
  </si>
  <si>
    <t>playmaker</t>
  </si>
  <si>
    <t>Start Time</t>
  </si>
  <si>
    <t>TICKET PRICE</t>
  </si>
  <si>
    <t>HT</t>
  </si>
  <si>
    <t>FT</t>
  </si>
  <si>
    <t>TV REVENUE</t>
  </si>
  <si>
    <t>MATCH REVENUE</t>
  </si>
  <si>
    <t>TOT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</si>
</sst>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164" formatCode="[$-F800]dddd\,\ mmmm\ dd\,\ yyyy"/>
    <numFmt numFmtId="165" formatCode="_([$€-2]\ * #,##0.00_);_([$€-2]\ * \(#,##0.00\);_([$€-2]\ * &quot;-&quot;??_);_(@_)"/>
    <numFmt numFmtId="166" formatCode="[$-409]d\-mmm\-yyyy;@"/>
    <numFmt numFmtId="167" formatCode="\(0\)"/>
    <numFmt numFmtId="168" formatCode="0&quot; Players&quot;"/>
    <numFmt numFmtId="169" formatCode="0&quot; Leaders&quot;"/>
    <numFmt numFmtId="170" formatCode="0&quot; years&quot;"/>
    <numFmt numFmtId="171" formatCode="0&quot; Days btn Oldest and Youngest&quot;"/>
    <numFmt numFmtId="172" formatCode="0&quot; matches&quot;"/>
    <numFmt numFmtId="173" formatCode="h:mm&quot; avg&quot;"/>
    <numFmt numFmtId="174" formatCode="0&quot; days in the season&quot;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  <font>
      <b/>
      <sz val="11"/>
      <color rgb="FFA31515"/>
      <name val="Consolas"/>
      <family val="3"/>
    </font>
    <font>
      <b/>
      <sz val="11"/>
      <color rgb="FF008000"/>
      <name val="Consolas"/>
      <family val="3"/>
    </font>
    <font>
      <sz val="8"/>
      <name val="Aptos Narrow"/>
      <family val="2"/>
      <scheme val="minor"/>
    </font>
    <font>
      <b/>
      <i/>
      <sz val="11"/>
      <color theme="1"/>
      <name val="Consolas"/>
      <family val="3"/>
    </font>
    <font>
      <b/>
      <sz val="11"/>
      <color theme="3" tint="0.249977111117893"/>
      <name val="Consolas"/>
      <family val="3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9" fillId="0" borderId="0" applyFont="0" applyFill="0" applyBorder="0" applyAlignment="0" applyProtection="0"/>
  </cellStyleXfs>
  <cellXfs count="4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3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left"/>
    </xf>
    <xf numFmtId="167" fontId="1" fillId="0" borderId="0" xfId="0" applyNumberFormat="1" applyFont="1" applyAlignment="1">
      <alignment horizont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20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0" fontId="2" fillId="0" borderId="0" xfId="0" applyNumberFormat="1" applyFont="1" applyAlignment="1">
      <alignment horizontal="center"/>
    </xf>
    <xf numFmtId="172" fontId="1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3" fontId="1" fillId="0" borderId="0" xfId="0" applyNumberFormat="1" applyFont="1" applyAlignment="1">
      <alignment horizontal="center"/>
    </xf>
    <xf numFmtId="174" fontId="1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69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horizontal="left"/>
    </xf>
    <xf numFmtId="171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/>
    <xf numFmtId="0" fontId="2" fillId="0" borderId="0" xfId="0" applyFon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44" fontId="2" fillId="0" borderId="0" xfId="1" applyFont="1" applyAlignment="1">
      <alignment horizontal="center"/>
    </xf>
    <xf numFmtId="44" fontId="2" fillId="0" borderId="0" xfId="0" applyNumberFormat="1" applyFont="1"/>
    <xf numFmtId="44" fontId="1" fillId="0" borderId="0" xfId="0" applyNumberFormat="1" applyFont="1"/>
    <xf numFmtId="1" fontId="7" fillId="0" borderId="0" xfId="0" applyNumberFormat="1" applyFont="1" applyAlignment="1">
      <alignment horizontal="center"/>
    </xf>
    <xf numFmtId="0" fontId="2" fillId="0" borderId="0" xfId="0" applyFont="1"/>
  </cellXfs>
  <cellStyles count="2">
    <cellStyle name="Currency" xfId="1" builtinId="4"/>
    <cellStyle name="Normal" xfId="0" builtinId="0"/>
  </cellStyles>
  <dxfs count="11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numFmt numFmtId="171" formatCode="0&quot; Days btn Oldest and Youngest&quot;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numFmt numFmtId="168" formatCode="0&quot; Players&quot;"/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numFmt numFmtId="169" formatCode="0&quot; Leaders&quot;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165" formatCode="_([$€-2]\ * #,##0.00_);_([$€-2]\ * \(#,##0.00\);_([$€-2]\ * &quot;-&quot;??_);_(@_)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numFmt numFmtId="19" formatCode="m/d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numFmt numFmtId="166" formatCode="[$-409]d\-mmm\-yy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numFmt numFmtId="170" formatCode="0&quot; years&quot;"/>
      <alignment horizontal="center" vertical="bottom" textRotation="0" wrapText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name val="Consolas"/>
        <family val="3"/>
        <scheme val="none"/>
      </font>
      <numFmt numFmtId="164" formatCode="[$-F800]dddd\,\ mmmm\ dd\,\ 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name val="Consolas"/>
        <family val="3"/>
        <scheme val="none"/>
      </font>
      <numFmt numFmtId="167" formatCode="\(0\)"/>
      <alignment horizontal="center" vertical="bottom" textRotation="0" wrapText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3" tint="0.249977111117893"/>
        <name val="Consolas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34" formatCode="_(&quot;$&quot;* #,##0.00_);_(&quot;$&quot;* \(#,##0.00\);_(&quot;$&quot;* &quot;-&quot;??_);_(@_)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34" formatCode="_(&quot;$&quot;* #,##0.00_);_(&quot;$&quot;* \(#,##0.00\);_(&quot;$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34" formatCode="_(&quot;$&quot;* #,##0.00_);_(&quot;$&quot;* \(#,##0.00\);_(&quot;$&quot;* &quot;-&quot;??_);_(@_)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172" formatCode="0&quot; matches&quot;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/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/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173" formatCode="h:mm&quot; avg&quot;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25" formatCode="h: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173" formatCode="h:mm&quot; avg&quot;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25" formatCode="h: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173" formatCode="h:mm&quot; avg&quot;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25" formatCode="h: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174" formatCode="0&quot; days in the season&quot;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164" formatCode="[$-F800]dddd\,\ mmmm\ dd\,\ yyyy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/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6541C4-A908-4A02-9006-9CB38725C039}" name="Table4" displayName="Table4" ref="A1:O308" totalsRowCount="1" headerRowDxfId="116" dataDxfId="115" totalsRowDxfId="114">
  <autoFilter ref="A1:O307" xr:uid="{486541C4-A908-4A02-9006-9CB38725C039}">
    <filterColumn colId="0">
      <filters>
        <filter val="3"/>
      </filters>
    </filterColumn>
  </autoFilter>
  <tableColumns count="15">
    <tableColumn id="1" xr3:uid="{61DA74BE-95B8-4A12-BED0-1F7AF2E7F4AA}" name="Matchday" totalsRowLabel="Total" dataDxfId="113" totalsRowDxfId="112"/>
    <tableColumn id="2" xr3:uid="{9667CD3B-79FF-4D0F-A0C4-D03A898157BD}" name="Date" totalsRowFunction="custom" dataDxfId="111" totalsRowDxfId="110">
      <totalsRowFormula>MAX(Table4[Date])-MIN(Table4[Date])</totalsRowFormula>
    </tableColumn>
    <tableColumn id="3" xr3:uid="{B984F37D-7DCF-4B8A-B471-371A2E36A110}" name="Start Time" totalsRowFunction="average" dataDxfId="109" totalsRowDxfId="108"/>
    <tableColumn id="13" xr3:uid="{12EA3D6C-0B47-4B26-8A56-A8C4BAF39E59}" name="HT" dataDxfId="107" totalsRowDxfId="106"/>
    <tableColumn id="10" xr3:uid="{AC133520-21B2-4CBF-AFF6-7B5DDC4EF503}" name="FT" dataDxfId="105" totalsRowDxfId="104"/>
    <tableColumn id="4" xr3:uid="{09338D93-CC22-4DC9-8B28-61382C235C9E}" name="Home" dataDxfId="103" totalsRowDxfId="102"/>
    <tableColumn id="5" xr3:uid="{7178BD72-6265-45D1-9DE5-578D910AB5F3}" name="Away" dataDxfId="101" totalsRowDxfId="100"/>
    <tableColumn id="6" xr3:uid="{F01A5997-950B-4DD5-860E-19C4DAAACF87}" name="Venue" totalsRowFunction="count" dataDxfId="99" totalsRowDxfId="98"/>
    <tableColumn id="7" xr3:uid="{D26575B2-1DDE-40AD-B52F-6320EAF979DA}" name="Capacity" totalsRowFunction="average" dataDxfId="97" totalsRowDxfId="96"/>
    <tableColumn id="8" xr3:uid="{90946A28-2E73-42E6-8A31-37B11E916179}" name="Attendance" totalsRowFunction="average" dataDxfId="95" totalsRowDxfId="94"/>
    <tableColumn id="9" xr3:uid="{B3BC2C1B-5D53-4D88-90AE-A86F44725EB3}" name="PLAYED" dataDxfId="93" totalsRowDxfId="92"/>
    <tableColumn id="11" xr3:uid="{87F34767-314D-4EF5-A209-295987C6F6FF}" name="TICKET PRICE" totalsRowFunction="average" dataDxfId="91" totalsRowDxfId="90" dataCellStyle="Currency"/>
    <tableColumn id="12" xr3:uid="{449D5A84-CBF3-45A4-B6E3-C9BEE40C9B45}" name="MATCH REVENUE" totalsRowFunction="sum" dataDxfId="89" totalsRowDxfId="88">
      <calculatedColumnFormula>Table4[[#This Row],[Attendance]]*Table4[[#This Row],[TICKET PRICE]]</calculatedColumnFormula>
    </tableColumn>
    <tableColumn id="14" xr3:uid="{F12C4D29-6454-4729-80AC-8D5873BE8B58}" name="TV REVENUE" dataDxfId="87" totalsRowDxfId="86"/>
    <tableColumn id="15" xr3:uid="{C9B29167-818A-4E98-B794-7982561252A6}" name="TOT REVENUE" dataDxfId="85" totalsRowDxfId="8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62FAFBA-33DE-428A-8B2A-508FB7AF2382}" name="Table2" displayName="Table2" ref="A1:X435" totalsRowCount="1" headerRowDxfId="83" dataDxfId="82" totalsRowDxfId="81">
  <autoFilter ref="A1:X434" xr:uid="{E62FAFBA-33DE-428A-8B2A-508FB7AF2382}"/>
  <tableColumns count="24">
    <tableColumn id="1" xr3:uid="{5100D2B8-23FF-4D94-A60D-19E7F66E2721}" name="CLUB" totalsRowLabel="Total" dataDxfId="80" totalsRowDxfId="23"/>
    <tableColumn id="2" xr3:uid="{AD19320B-D334-440A-8517-F5004417DAF5}" name="LEADERSHIP" totalsRowFunction="count" dataDxfId="79" totalsRowDxfId="22"/>
    <tableColumn id="22" xr3:uid="{D5ABF76A-EDC3-4671-AB15-3F274AF754F1}" name="ROLE" dataDxfId="78" totalsRowDxfId="21"/>
    <tableColumn id="3" xr3:uid="{0A804136-5D1D-4D37-916C-F1A509428F90}" name="NO" dataDxfId="77" totalsRowDxfId="20"/>
    <tableColumn id="4" xr3:uid="{240F9C43-5820-4360-9D80-8615A7A629CD}" name="PLAYER NAME" totalsRowFunction="count" dataDxfId="76" totalsRowDxfId="19"/>
    <tableColumn id="5" xr3:uid="{3CE202B4-2E7D-40AB-981D-6B27EDFB19BC}" name="POS" dataDxfId="75" totalsRowDxfId="18"/>
    <tableColumn id="6" xr3:uid="{8B7F162A-5FAB-42BB-96BA-1B2B9862BEB0}" name="OTHER POS" dataDxfId="74" totalsRowDxfId="17"/>
    <tableColumn id="7" xr3:uid="{C04841AE-0796-47FC-9142-00B0B72FE72B}" name="DOB" totalsRowFunction="custom" dataDxfId="73" totalsRowDxfId="16">
      <totalsRowFormula>MAX(Table2[DOB])-MIN(Table2[DOB])</totalsRowFormula>
    </tableColumn>
    <tableColumn id="8" xr3:uid="{9C79A6C6-01D9-4660-9F0A-F6FFB8CA67BB}" name="AGE" totalsRowFunction="average" dataDxfId="72" totalsRowDxfId="15">
      <calculatedColumnFormula>DATEDIF(H2,TODAY(),"Y")</calculatedColumnFormula>
    </tableColumn>
    <tableColumn id="9" xr3:uid="{0AE0D175-D7F8-4710-AEE7-55122F740E30}" name="Signed for" totalsRowFunction="sum" dataDxfId="71" totalsRowDxfId="14"/>
    <tableColumn id="10" xr3:uid="{A5C8430B-03A5-45E3-A91C-39DECD9EAA64}" name="Market _x000a_Value" totalsRowFunction="sum" dataDxfId="70" totalsRowDxfId="13"/>
    <tableColumn id="11" xr3:uid="{FC521E6F-45B4-43A1-AA9A-87ECB7827C01}" name="Salary/_x000a_Week" totalsRowFunction="sum" dataDxfId="69" totalsRowDxfId="12"/>
    <tableColumn id="12" xr3:uid="{A76E75F0-046B-430C-8466-C3849A91F996}" name="Salary/_x000a_Year" totalsRowFunction="sum" dataDxfId="68" totalsRowDxfId="11">
      <calculatedColumnFormula>(Table2[[#This Row],[Salary/
Week]]*52)</calculatedColumnFormula>
    </tableColumn>
    <tableColumn id="13" xr3:uid="{069E9AAC-4EE5-4B45-AEA6-8C6FBF400635}" name="Transfer_x000a_ Date" dataDxfId="67" totalsRowDxfId="10"/>
    <tableColumn id="14" xr3:uid="{2A5D31B8-5A58-4F28-BA02-02613963F8F9}" name="Contract End" dataDxfId="66" totalsRowDxfId="9"/>
    <tableColumn id="15" xr3:uid="{331A1894-EE38-4E69-A045-517137DB279F}" name="Years _x000a_At" dataDxfId="65" totalsRowDxfId="8">
      <calculatedColumnFormula>DATEDIF(N2,TODAY(),"Y")</calculatedColumnFormula>
    </tableColumn>
    <tableColumn id="16" xr3:uid="{A13E980E-1D04-451D-B01B-277D960D56A5}" name="Years _x000a_Left" dataDxfId="64" totalsRowDxfId="7">
      <calculatedColumnFormula>DATEDIF(TODAY(),O2,"y")</calculatedColumnFormula>
    </tableColumn>
    <tableColumn id="17" xr3:uid="{DE8EB871-D31E-4E34-9C8B-DF62FBF91853}" name="Months Left" dataDxfId="63" totalsRowDxfId="6">
      <calculatedColumnFormula>DATEDIF(TODAY(),O2,"m")</calculatedColumnFormula>
    </tableColumn>
    <tableColumn id="18" xr3:uid="{A2E5331A-3424-430E-B490-1E81D9F5F711}" name="M" dataDxfId="62" totalsRowDxfId="5"/>
    <tableColumn id="19" xr3:uid="{A899E500-A5BE-4D42-82F6-45D204172D74}" name="G" dataDxfId="61" totalsRowDxfId="4"/>
    <tableColumn id="20" xr3:uid="{7F192D31-0427-47FD-8E41-2D75350D4B17}" name="A" dataDxfId="60" totalsRowDxfId="3"/>
    <tableColumn id="21" xr3:uid="{BE5DA5A7-A5BD-424B-99E8-1843AA5A4F6F}" name="PREFERRED FOOT" dataDxfId="59" totalsRowDxfId="2"/>
    <tableColumn id="23" xr3:uid="{8C8EE5CE-5895-400F-80EB-1B4C196901BD}" name="SPECIALTY" dataDxfId="58" totalsRowDxfId="1"/>
    <tableColumn id="24" xr3:uid="{ACB082F2-D158-45D0-8A4D-261FBB1B4AF3}" name="NATIONALITY" dataDxfId="57" totalsRowDxfId="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88E773D-FD06-44FD-9567-D4D43D60F983}" name="Table3" displayName="Table3" ref="A1:O70" totalsRowCount="1" headerRowDxfId="56" dataDxfId="55" totalsRowDxfId="54">
  <autoFilter ref="A1:O69" xr:uid="{D88E773D-FD06-44FD-9567-D4D43D60F983}"/>
  <sortState xmlns:xlrd2="http://schemas.microsoft.com/office/spreadsheetml/2017/richdata2" ref="A2:N69">
    <sortCondition ref="G2:G69"/>
  </sortState>
  <tableColumns count="15">
    <tableColumn id="14" xr3:uid="{8EE32F52-D9FD-45F8-8F27-E33E2AF376D5}" name="JNO" dataDxfId="53" totalsRowDxfId="52"/>
    <tableColumn id="1" xr3:uid="{6EDABE7A-CF53-4716-9174-465A0D45D0DF}" name="TRANSFERS" totalsRowLabel="Total" dataDxfId="51" totalsRowDxfId="50"/>
    <tableColumn id="12" xr3:uid="{E9F5C4B0-7A77-4A85-9E50-9EBD42C1E35B}" name="Pos" dataDxfId="49" totalsRowDxfId="48"/>
    <tableColumn id="2" xr3:uid="{88471D87-2859-4506-811B-E749D352CD1A}" name="FROM CLUB" dataDxfId="47" totalsRowDxfId="46"/>
    <tableColumn id="3" xr3:uid="{0984B046-F88E-4B7D-AA3B-95CA751E0C32}" name="TO CLUB" dataDxfId="45" totalsRowDxfId="44"/>
    <tableColumn id="4" xr3:uid="{3E25C8A5-7A95-4245-A4EA-D44145A6D12A}" name="FEE" totalsRowFunction="sum" dataDxfId="43" totalsRowDxfId="42"/>
    <tableColumn id="5" xr3:uid="{289D7CA0-41E9-475A-90EB-F73903BCE7CE}" name="Transfer Date" dataDxfId="41" totalsRowDxfId="40"/>
    <tableColumn id="6" xr3:uid="{629A3603-6857-45C1-B69E-7867FDD82D0C}" name="Contract End" dataDxfId="39" totalsRowDxfId="38"/>
    <tableColumn id="7" xr3:uid="{B2044E70-4874-4E11-93E0-AF24D7D0911D}" name="Wages" dataDxfId="37" totalsRowDxfId="36"/>
    <tableColumn id="8" xr3:uid="{FE40BDC1-648F-4DD3-9785-87A4951EB16C}" name="DOB" dataDxfId="35" totalsRowDxfId="34"/>
    <tableColumn id="9" xr3:uid="{85A4C7E6-EE3B-4B7D-BC62-E816F8566973}" name="Age" totalsRowFunction="average" dataDxfId="33" totalsRowDxfId="32">
      <calculatedColumnFormula>DATEDIF(Table3[[#This Row],[DOB]],TODAY(),"Y")</calculatedColumnFormula>
    </tableColumn>
    <tableColumn id="10" xr3:uid="{A3CD85D2-2684-4053-BA0B-1631DF28478F}" name="Age at Transfer" totalsRowFunction="average" dataDxfId="31" totalsRowDxfId="30">
      <calculatedColumnFormula>DATEDIF(Table3[[#This Row],[DOB]],Table3[[#This Row],[Transfer Date]],"Y")</calculatedColumnFormula>
    </tableColumn>
    <tableColumn id="13" xr3:uid="{6FD8025F-C233-46AB-8D6B-281CE81F90C7}" name="Age at Contract End" totalsRowFunction="average" dataDxfId="29" totalsRowDxfId="28">
      <calculatedColumnFormula>Table3[[#This Row],[Age at Transfer]]+Table3[[#This Row],[Contract]]</calculatedColumnFormula>
    </tableColumn>
    <tableColumn id="11" xr3:uid="{9F9A14A9-F925-4CDB-8E52-576890E05398}" name="Contract" totalsRowFunction="average" dataDxfId="27" totalsRowDxfId="26">
      <calculatedColumnFormula>DATEDIF(Table3[[#This Row],[Transfer Date]],Table3[[#This Row],[Contract End]],"Y")</calculatedColumnFormula>
    </tableColumn>
    <tableColumn id="15" xr3:uid="{61FE5CA7-88EA-4711-896C-3255ADE46A46}" name="COMPLETED" dataDxfId="25" totalsRowDxfId="2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D4AED2D-F1D1-4F2B-8A78-525273D2EB90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7CDC0-1365-4150-8371-A1AEC99037BE}">
  <dimension ref="A1:O308"/>
  <sheetViews>
    <sheetView showGridLines="0" zoomScaleNormal="100" workbookViewId="0">
      <selection activeCell="I26" sqref="G26:I26"/>
    </sheetView>
  </sheetViews>
  <sheetFormatPr defaultRowHeight="15" x14ac:dyDescent="0.25"/>
  <cols>
    <col min="1" max="1" width="14.7109375" bestFit="1" customWidth="1"/>
    <col min="2" max="2" width="33.85546875" bestFit="1" customWidth="1"/>
    <col min="3" max="3" width="17" bestFit="1" customWidth="1"/>
    <col min="4" max="5" width="7.85546875" bestFit="1" customWidth="1"/>
    <col min="6" max="7" width="14.85546875" bestFit="1" customWidth="1"/>
    <col min="8" max="8" width="27.85546875" bestFit="1" customWidth="1"/>
    <col min="9" max="9" width="14.7109375" bestFit="1" customWidth="1"/>
    <col min="10" max="10" width="17" bestFit="1" customWidth="1"/>
    <col min="11" max="11" width="12.42578125" bestFit="1" customWidth="1"/>
    <col min="12" max="12" width="19.42578125" bestFit="1" customWidth="1"/>
    <col min="13" max="13" width="19.5703125" bestFit="1" customWidth="1"/>
    <col min="14" max="14" width="18.140625" customWidth="1"/>
    <col min="15" max="15" width="24.5703125" customWidth="1"/>
  </cols>
  <sheetData>
    <row r="1" spans="1:15" x14ac:dyDescent="0.25">
      <c r="A1" s="1" t="s">
        <v>637</v>
      </c>
      <c r="B1" s="1" t="s">
        <v>638</v>
      </c>
      <c r="C1" s="1" t="s">
        <v>674</v>
      </c>
      <c r="D1" s="1" t="s">
        <v>676</v>
      </c>
      <c r="E1" s="1" t="s">
        <v>677</v>
      </c>
      <c r="F1" s="1" t="s">
        <v>639</v>
      </c>
      <c r="G1" s="1" t="s">
        <v>640</v>
      </c>
      <c r="H1" s="1" t="s">
        <v>641</v>
      </c>
      <c r="I1" s="1" t="s">
        <v>649</v>
      </c>
      <c r="J1" s="1" t="s">
        <v>665</v>
      </c>
      <c r="K1" s="1" t="s">
        <v>671</v>
      </c>
      <c r="L1" s="1" t="s">
        <v>675</v>
      </c>
      <c r="M1" s="1" t="s">
        <v>679</v>
      </c>
      <c r="N1" s="1" t="s">
        <v>678</v>
      </c>
      <c r="O1" s="1" t="s">
        <v>680</v>
      </c>
    </row>
    <row r="2" spans="1:15" hidden="1" x14ac:dyDescent="0.25">
      <c r="A2" s="33">
        <v>1</v>
      </c>
      <c r="B2" s="18">
        <v>46256</v>
      </c>
      <c r="C2" s="17">
        <v>0.52083333333333337</v>
      </c>
      <c r="D2" s="17">
        <v>0.5625</v>
      </c>
      <c r="E2" s="17">
        <v>0.60416666666666663</v>
      </c>
      <c r="F2" s="1" t="s">
        <v>305</v>
      </c>
      <c r="G2" s="1" t="s">
        <v>260</v>
      </c>
      <c r="H2" s="4" t="s">
        <v>646</v>
      </c>
      <c r="I2" s="5">
        <v>45000</v>
      </c>
      <c r="J2" s="5">
        <v>29626</v>
      </c>
      <c r="K2" s="34" t="b">
        <v>1</v>
      </c>
      <c r="L2" s="35">
        <v>27.26</v>
      </c>
      <c r="M2" s="36">
        <f>Table4[[#This Row],[Attendance]]*Table4[[#This Row],[TICKET PRICE]]</f>
        <v>807604.76</v>
      </c>
      <c r="N2" s="39"/>
      <c r="O2" s="39"/>
    </row>
    <row r="3" spans="1:15" hidden="1" x14ac:dyDescent="0.25">
      <c r="A3" s="4">
        <v>1</v>
      </c>
      <c r="B3" s="18">
        <v>46256</v>
      </c>
      <c r="C3" s="17">
        <v>0.625</v>
      </c>
      <c r="D3" s="17">
        <v>0.66666666666666696</v>
      </c>
      <c r="E3" s="17">
        <v>0.70833333333333337</v>
      </c>
      <c r="F3" s="1" t="s">
        <v>186</v>
      </c>
      <c r="G3" s="1" t="s">
        <v>114</v>
      </c>
      <c r="H3" s="4" t="s">
        <v>647</v>
      </c>
      <c r="I3" s="5">
        <v>80000</v>
      </c>
      <c r="J3" s="5">
        <v>74965</v>
      </c>
      <c r="K3" s="34" t="b">
        <v>1</v>
      </c>
      <c r="L3" s="35">
        <v>43.69</v>
      </c>
      <c r="M3" s="36">
        <f>Table4[[#This Row],[Attendance]]*Table4[[#This Row],[TICKET PRICE]]</f>
        <v>3275220.8499999996</v>
      </c>
      <c r="N3" s="39"/>
      <c r="O3" s="39"/>
    </row>
    <row r="4" spans="1:15" hidden="1" x14ac:dyDescent="0.25">
      <c r="A4" s="4">
        <v>1</v>
      </c>
      <c r="B4" s="18">
        <v>46256</v>
      </c>
      <c r="C4" s="17">
        <v>0.625</v>
      </c>
      <c r="D4" s="17">
        <v>0.66666666666666696</v>
      </c>
      <c r="E4" s="17">
        <v>0.70833333333333337</v>
      </c>
      <c r="F4" s="1" t="s">
        <v>350</v>
      </c>
      <c r="G4" s="1" t="s">
        <v>557</v>
      </c>
      <c r="H4" s="4" t="s">
        <v>648</v>
      </c>
      <c r="I4" s="5">
        <v>23000</v>
      </c>
      <c r="J4" s="5">
        <v>20956</v>
      </c>
      <c r="K4" s="34" t="b">
        <v>1</v>
      </c>
      <c r="L4" s="35">
        <v>36.270000000000003</v>
      </c>
      <c r="M4" s="36">
        <f>Table4[[#This Row],[Attendance]]*Table4[[#This Row],[TICKET PRICE]]</f>
        <v>760074.12000000011</v>
      </c>
      <c r="N4" s="39"/>
      <c r="O4" s="39"/>
    </row>
    <row r="5" spans="1:15" hidden="1" x14ac:dyDescent="0.25">
      <c r="A5" s="4">
        <v>1</v>
      </c>
      <c r="B5" s="18">
        <v>46256</v>
      </c>
      <c r="C5" s="17">
        <v>0.625</v>
      </c>
      <c r="D5" s="17">
        <v>0.66666666666666696</v>
      </c>
      <c r="E5" s="17">
        <v>0.70833333333333337</v>
      </c>
      <c r="F5" s="1" t="s">
        <v>556</v>
      </c>
      <c r="G5" s="1" t="s">
        <v>91</v>
      </c>
      <c r="H5" s="4" t="s">
        <v>642</v>
      </c>
      <c r="I5" s="5">
        <v>29700</v>
      </c>
      <c r="J5" s="5">
        <v>26166</v>
      </c>
      <c r="K5" s="34" t="b">
        <v>1</v>
      </c>
      <c r="L5" s="35">
        <v>46.42</v>
      </c>
      <c r="M5" s="36">
        <f>Table4[[#This Row],[Attendance]]*Table4[[#This Row],[TICKET PRICE]]</f>
        <v>1214625.72</v>
      </c>
      <c r="N5" s="39"/>
      <c r="O5" s="39"/>
    </row>
    <row r="6" spans="1:15" hidden="1" x14ac:dyDescent="0.25">
      <c r="A6" s="4">
        <v>1</v>
      </c>
      <c r="B6" s="18">
        <v>46256</v>
      </c>
      <c r="C6" s="17">
        <v>0.625</v>
      </c>
      <c r="D6" s="17">
        <v>0.66666666666666696</v>
      </c>
      <c r="E6" s="17">
        <v>0.70833333333333337</v>
      </c>
      <c r="F6" s="1" t="s">
        <v>566</v>
      </c>
      <c r="G6" s="1" t="s">
        <v>41</v>
      </c>
      <c r="H6" s="4" t="s">
        <v>643</v>
      </c>
      <c r="I6" s="5">
        <v>8000</v>
      </c>
      <c r="J6" s="5">
        <v>7544</v>
      </c>
      <c r="K6" s="34" t="b">
        <v>1</v>
      </c>
      <c r="L6" s="35">
        <v>40.61</v>
      </c>
      <c r="M6" s="36">
        <f>Table4[[#This Row],[Attendance]]*Table4[[#This Row],[TICKET PRICE]]</f>
        <v>306361.83999999997</v>
      </c>
      <c r="N6" s="39"/>
      <c r="O6" s="39"/>
    </row>
    <row r="7" spans="1:15" hidden="1" x14ac:dyDescent="0.25">
      <c r="A7" s="4">
        <v>1</v>
      </c>
      <c r="B7" s="18">
        <v>46256</v>
      </c>
      <c r="C7" s="17">
        <v>0.72916666666666663</v>
      </c>
      <c r="D7" s="17">
        <v>0.77083333333333304</v>
      </c>
      <c r="E7" s="17">
        <v>0.8125</v>
      </c>
      <c r="F7" s="1" t="s">
        <v>283</v>
      </c>
      <c r="G7" s="1" t="s">
        <v>163</v>
      </c>
      <c r="H7" s="4" t="s">
        <v>650</v>
      </c>
      <c r="I7" s="5">
        <v>55000</v>
      </c>
      <c r="J7" s="5">
        <v>48201</v>
      </c>
      <c r="K7" s="34" t="b">
        <v>1</v>
      </c>
      <c r="L7" s="35">
        <v>43.67</v>
      </c>
      <c r="M7" s="36">
        <f>Table4[[#This Row],[Attendance]]*Table4[[#This Row],[TICKET PRICE]]</f>
        <v>2104937.67</v>
      </c>
      <c r="N7" s="39"/>
      <c r="O7" s="39"/>
    </row>
    <row r="8" spans="1:15" hidden="1" x14ac:dyDescent="0.25">
      <c r="A8" s="4">
        <v>1</v>
      </c>
      <c r="B8" s="18">
        <v>46257</v>
      </c>
      <c r="C8" s="17">
        <v>0.70833333333333337</v>
      </c>
      <c r="D8" s="17">
        <v>0.75</v>
      </c>
      <c r="E8" s="17">
        <v>0.79166666666666696</v>
      </c>
      <c r="F8" s="1" t="s">
        <v>327</v>
      </c>
      <c r="G8" s="1" t="s">
        <v>371</v>
      </c>
      <c r="H8" s="4" t="s">
        <v>651</v>
      </c>
      <c r="I8" s="5">
        <v>40000</v>
      </c>
      <c r="J8" s="5">
        <v>26269</v>
      </c>
      <c r="K8" s="34" t="b">
        <v>1</v>
      </c>
      <c r="L8" s="35">
        <v>28.43</v>
      </c>
      <c r="M8" s="36">
        <f>Table4[[#This Row],[Attendance]]*Table4[[#This Row],[TICKET PRICE]]</f>
        <v>746827.67</v>
      </c>
      <c r="N8" s="39"/>
      <c r="O8" s="39"/>
    </row>
    <row r="9" spans="1:15" hidden="1" x14ac:dyDescent="0.25">
      <c r="A9" s="4">
        <v>1</v>
      </c>
      <c r="B9" s="18">
        <v>46257</v>
      </c>
      <c r="C9" s="17">
        <v>0.8125</v>
      </c>
      <c r="D9" s="17">
        <v>0.85416666666666696</v>
      </c>
      <c r="E9" s="17">
        <v>0.89583333333333304</v>
      </c>
      <c r="F9" s="1" t="s">
        <v>236</v>
      </c>
      <c r="G9" s="1" t="s">
        <v>66</v>
      </c>
      <c r="H9" s="4" t="s">
        <v>652</v>
      </c>
      <c r="I9" s="5">
        <v>35000</v>
      </c>
      <c r="J9" s="5">
        <v>30554</v>
      </c>
      <c r="K9" s="34" t="b">
        <v>1</v>
      </c>
      <c r="L9" s="35">
        <v>43.37</v>
      </c>
      <c r="M9" s="36">
        <f>Table4[[#This Row],[Attendance]]*Table4[[#This Row],[TICKET PRICE]]</f>
        <v>1325126.98</v>
      </c>
      <c r="N9" s="39"/>
      <c r="O9" s="39"/>
    </row>
    <row r="10" spans="1:15" hidden="1" x14ac:dyDescent="0.25">
      <c r="A10" s="4">
        <v>1</v>
      </c>
      <c r="B10" s="18">
        <v>46257</v>
      </c>
      <c r="C10" s="17">
        <v>0.91666666666666663</v>
      </c>
      <c r="D10" s="17">
        <v>0.95833333333333304</v>
      </c>
      <c r="E10" s="17">
        <v>1</v>
      </c>
      <c r="F10" s="1" t="s">
        <v>139</v>
      </c>
      <c r="G10" s="1" t="s">
        <v>210</v>
      </c>
      <c r="H10" s="4" t="s">
        <v>653</v>
      </c>
      <c r="I10" s="5">
        <v>65000</v>
      </c>
      <c r="J10" s="5">
        <v>60867</v>
      </c>
      <c r="K10" s="34" t="b">
        <v>1</v>
      </c>
      <c r="L10" s="35">
        <v>54.69</v>
      </c>
      <c r="M10" s="36">
        <f>Table4[[#This Row],[Attendance]]*Table4[[#This Row],[TICKET PRICE]]</f>
        <v>3328816.23</v>
      </c>
      <c r="N10" s="39"/>
      <c r="O10" s="39"/>
    </row>
    <row r="11" spans="1:15" hidden="1" x14ac:dyDescent="0.25">
      <c r="A11" s="4">
        <v>2</v>
      </c>
      <c r="B11" s="18">
        <v>46263</v>
      </c>
      <c r="C11" s="17">
        <v>0.52083333333333337</v>
      </c>
      <c r="D11" s="17">
        <v>0.5625</v>
      </c>
      <c r="E11" s="17">
        <v>0.60416666666666696</v>
      </c>
      <c r="F11" s="1" t="s">
        <v>557</v>
      </c>
      <c r="G11" s="1" t="s">
        <v>236</v>
      </c>
      <c r="H11" s="4" t="s">
        <v>644</v>
      </c>
      <c r="I11" s="5">
        <v>17000</v>
      </c>
      <c r="J11" s="5">
        <v>14299</v>
      </c>
      <c r="K11" s="34" t="b">
        <v>1</v>
      </c>
      <c r="L11" s="35">
        <v>40.770000000000003</v>
      </c>
      <c r="M11" s="36">
        <f>Table4[[#This Row],[Attendance]]*Table4[[#This Row],[TICKET PRICE]]</f>
        <v>582970.2300000001</v>
      </c>
      <c r="N11" s="39"/>
      <c r="O11" s="39"/>
    </row>
    <row r="12" spans="1:15" hidden="1" x14ac:dyDescent="0.25">
      <c r="A12" s="4">
        <v>2</v>
      </c>
      <c r="B12" s="18">
        <v>46263</v>
      </c>
      <c r="C12" s="17">
        <v>0.625</v>
      </c>
      <c r="D12" s="17">
        <v>0.66666666666666696</v>
      </c>
      <c r="E12" s="17">
        <v>0.70833333333333304</v>
      </c>
      <c r="F12" s="1" t="s">
        <v>371</v>
      </c>
      <c r="G12" s="1" t="s">
        <v>305</v>
      </c>
      <c r="H12" s="4" t="s">
        <v>654</v>
      </c>
      <c r="I12" s="5">
        <v>36000</v>
      </c>
      <c r="J12" s="5">
        <v>23323</v>
      </c>
      <c r="K12" s="34" t="b">
        <v>1</v>
      </c>
      <c r="L12" s="35">
        <v>30.13</v>
      </c>
      <c r="M12" s="36">
        <f>Table4[[#This Row],[Attendance]]*Table4[[#This Row],[TICKET PRICE]]</f>
        <v>702721.99</v>
      </c>
      <c r="N12" s="39"/>
      <c r="O12" s="39"/>
    </row>
    <row r="13" spans="1:15" hidden="1" x14ac:dyDescent="0.25">
      <c r="A13" s="4">
        <v>2</v>
      </c>
      <c r="B13" s="18">
        <v>46263</v>
      </c>
      <c r="C13" s="17">
        <v>0.625</v>
      </c>
      <c r="D13" s="17">
        <v>0.66666666666666696</v>
      </c>
      <c r="E13" s="17">
        <v>0.70833333333333304</v>
      </c>
      <c r="F13" s="1" t="s">
        <v>260</v>
      </c>
      <c r="G13" s="1" t="s">
        <v>566</v>
      </c>
      <c r="H13" s="4" t="s">
        <v>655</v>
      </c>
      <c r="I13" s="5">
        <v>40000</v>
      </c>
      <c r="J13" s="5">
        <v>28904</v>
      </c>
      <c r="K13" s="34" t="b">
        <v>1</v>
      </c>
      <c r="L13" s="35">
        <v>25.29</v>
      </c>
      <c r="M13" s="36">
        <f>Table4[[#This Row],[Attendance]]*Table4[[#This Row],[TICKET PRICE]]</f>
        <v>730982.16</v>
      </c>
      <c r="N13" s="39"/>
      <c r="O13" s="39"/>
    </row>
    <row r="14" spans="1:15" hidden="1" x14ac:dyDescent="0.25">
      <c r="A14" s="4">
        <v>2</v>
      </c>
      <c r="B14" s="18">
        <v>46263</v>
      </c>
      <c r="C14" s="17">
        <v>0.8125</v>
      </c>
      <c r="D14" s="17">
        <v>0.85416666666666696</v>
      </c>
      <c r="E14" s="17">
        <v>0.89583333333333304</v>
      </c>
      <c r="F14" s="1" t="s">
        <v>163</v>
      </c>
      <c r="G14" s="1" t="s">
        <v>327</v>
      </c>
      <c r="H14" s="4" t="s">
        <v>656</v>
      </c>
      <c r="I14" s="5">
        <v>100000</v>
      </c>
      <c r="J14" s="5">
        <v>94630</v>
      </c>
      <c r="K14" s="34" t="b">
        <v>1</v>
      </c>
      <c r="L14" s="35">
        <v>51.01</v>
      </c>
      <c r="M14" s="36">
        <f>Table4[[#This Row],[Attendance]]*Table4[[#This Row],[TICKET PRICE]]</f>
        <v>4827076.3</v>
      </c>
      <c r="N14" s="39"/>
      <c r="O14" s="39"/>
    </row>
    <row r="15" spans="1:15" hidden="1" x14ac:dyDescent="0.25">
      <c r="A15" s="4">
        <v>2</v>
      </c>
      <c r="B15" s="18">
        <v>46264</v>
      </c>
      <c r="C15" s="17">
        <v>0.625</v>
      </c>
      <c r="D15" s="17">
        <v>0.66666666666666696</v>
      </c>
      <c r="E15" s="17">
        <v>0.70833333333333304</v>
      </c>
      <c r="F15" s="1" t="s">
        <v>210</v>
      </c>
      <c r="G15" s="1" t="s">
        <v>350</v>
      </c>
      <c r="H15" s="4" t="s">
        <v>657</v>
      </c>
      <c r="I15" s="5">
        <v>70000</v>
      </c>
      <c r="J15" s="5">
        <v>46156</v>
      </c>
      <c r="K15" s="34" t="b">
        <v>1</v>
      </c>
      <c r="L15" s="35">
        <v>29.55</v>
      </c>
      <c r="M15" s="36">
        <f>Table4[[#This Row],[Attendance]]*Table4[[#This Row],[TICKET PRICE]]</f>
        <v>1363909.8</v>
      </c>
      <c r="N15" s="39"/>
      <c r="O15" s="39"/>
    </row>
    <row r="16" spans="1:15" hidden="1" x14ac:dyDescent="0.25">
      <c r="A16" s="4">
        <v>2</v>
      </c>
      <c r="B16" s="18">
        <v>46264</v>
      </c>
      <c r="C16" s="17">
        <v>0.72916666666666663</v>
      </c>
      <c r="D16" s="17">
        <v>0.77083333333333304</v>
      </c>
      <c r="E16" s="17">
        <v>0.8125</v>
      </c>
      <c r="F16" s="1" t="s">
        <v>91</v>
      </c>
      <c r="G16" s="1" t="s">
        <v>283</v>
      </c>
      <c r="H16" s="4" t="s">
        <v>658</v>
      </c>
      <c r="I16" s="5">
        <v>87000</v>
      </c>
      <c r="J16" s="5">
        <v>79044</v>
      </c>
      <c r="K16" s="34" t="b">
        <v>1</v>
      </c>
      <c r="L16" s="35">
        <v>55.09</v>
      </c>
      <c r="M16" s="36">
        <f>Table4[[#This Row],[Attendance]]*Table4[[#This Row],[TICKET PRICE]]</f>
        <v>4354533.96</v>
      </c>
      <c r="N16" s="39"/>
      <c r="O16" s="39"/>
    </row>
    <row r="17" spans="1:15" hidden="1" x14ac:dyDescent="0.25">
      <c r="A17" s="4">
        <v>2</v>
      </c>
      <c r="B17" s="18">
        <v>46264</v>
      </c>
      <c r="C17" s="17">
        <v>0.72916666666666663</v>
      </c>
      <c r="D17" s="17">
        <v>0.77083333333333304</v>
      </c>
      <c r="E17" s="17">
        <v>0.8125</v>
      </c>
      <c r="F17" s="1" t="s">
        <v>66</v>
      </c>
      <c r="G17" s="1" t="s">
        <v>186</v>
      </c>
      <c r="H17" s="4" t="s">
        <v>659</v>
      </c>
      <c r="I17" s="5">
        <v>87000</v>
      </c>
      <c r="J17" s="5">
        <v>85695</v>
      </c>
      <c r="K17" s="34" t="b">
        <v>1</v>
      </c>
      <c r="L17" s="35">
        <v>54.86</v>
      </c>
      <c r="M17" s="36">
        <f>Table4[[#This Row],[Attendance]]*Table4[[#This Row],[TICKET PRICE]]</f>
        <v>4701227.7</v>
      </c>
      <c r="N17" s="39"/>
      <c r="O17" s="39"/>
    </row>
    <row r="18" spans="1:15" hidden="1" x14ac:dyDescent="0.25">
      <c r="A18" s="4">
        <v>2</v>
      </c>
      <c r="B18" s="18">
        <v>46264</v>
      </c>
      <c r="C18" s="17">
        <v>0.83333333333333337</v>
      </c>
      <c r="D18" s="17">
        <v>0.875</v>
      </c>
      <c r="E18" s="17">
        <v>0.91666666666666696</v>
      </c>
      <c r="F18" s="1" t="s">
        <v>41</v>
      </c>
      <c r="G18" s="1" t="s">
        <v>139</v>
      </c>
      <c r="H18" s="4" t="s">
        <v>660</v>
      </c>
      <c r="I18" s="5">
        <v>70000</v>
      </c>
      <c r="J18" s="5">
        <v>68950</v>
      </c>
      <c r="K18" s="34" t="b">
        <v>1</v>
      </c>
      <c r="L18" s="35">
        <v>76.290000000000006</v>
      </c>
      <c r="M18" s="36">
        <f>Table4[[#This Row],[Attendance]]*Table4[[#This Row],[TICKET PRICE]]</f>
        <v>5260195.5</v>
      </c>
      <c r="N18" s="39"/>
      <c r="O18" s="39"/>
    </row>
    <row r="19" spans="1:15" hidden="1" x14ac:dyDescent="0.25">
      <c r="A19" s="4">
        <v>2</v>
      </c>
      <c r="B19" s="18">
        <v>46265</v>
      </c>
      <c r="C19" s="17">
        <v>0.85416666666666663</v>
      </c>
      <c r="D19" s="17">
        <v>0.89583333333333304</v>
      </c>
      <c r="E19" s="17">
        <v>0.9375</v>
      </c>
      <c r="F19" s="1" t="s">
        <v>114</v>
      </c>
      <c r="G19" s="1" t="s">
        <v>556</v>
      </c>
      <c r="H19" s="4" t="s">
        <v>645</v>
      </c>
      <c r="I19" s="5">
        <v>45000</v>
      </c>
      <c r="J19" s="5">
        <v>39675</v>
      </c>
      <c r="K19" s="34" t="b">
        <v>1</v>
      </c>
      <c r="L19" s="35">
        <v>49.99</v>
      </c>
      <c r="M19" s="36">
        <f>Table4[[#This Row],[Attendance]]*Table4[[#This Row],[TICKET PRICE]]</f>
        <v>1983353.25</v>
      </c>
      <c r="N19" s="39"/>
      <c r="O19" s="39"/>
    </row>
    <row r="20" spans="1:15" x14ac:dyDescent="0.25">
      <c r="A20" s="4">
        <v>3</v>
      </c>
      <c r="B20" s="18">
        <v>46270</v>
      </c>
      <c r="C20" s="17">
        <v>0.52083333333333337</v>
      </c>
      <c r="D20" s="17"/>
      <c r="E20" s="17"/>
      <c r="F20" s="1" t="s">
        <v>556</v>
      </c>
      <c r="G20" s="1" t="s">
        <v>66</v>
      </c>
      <c r="H20" s="4" t="s">
        <v>642</v>
      </c>
      <c r="I20" s="5">
        <v>29700</v>
      </c>
      <c r="J20" s="5">
        <v>25759</v>
      </c>
      <c r="K20" s="34" t="b">
        <v>1</v>
      </c>
      <c r="L20" s="35">
        <v>42.64</v>
      </c>
      <c r="M20" s="36">
        <f>Table4[[#This Row],[Attendance]]*Table4[[#This Row],[TICKET PRICE]]</f>
        <v>1098363.76</v>
      </c>
      <c r="N20" s="39"/>
      <c r="O20" s="39"/>
    </row>
    <row r="21" spans="1:15" x14ac:dyDescent="0.25">
      <c r="A21" s="4">
        <v>3</v>
      </c>
      <c r="B21" s="18">
        <v>46270</v>
      </c>
      <c r="C21" s="17">
        <v>0.625</v>
      </c>
      <c r="D21" s="17"/>
      <c r="E21" s="17"/>
      <c r="F21" s="1" t="s">
        <v>41</v>
      </c>
      <c r="G21" s="1" t="s">
        <v>260</v>
      </c>
      <c r="H21" s="4" t="s">
        <v>660</v>
      </c>
      <c r="I21" s="5">
        <v>70000</v>
      </c>
      <c r="J21" s="5">
        <v>68092</v>
      </c>
      <c r="K21" s="34" t="b">
        <v>1</v>
      </c>
      <c r="L21" s="35">
        <v>52.35</v>
      </c>
      <c r="M21" s="36">
        <f>Table4[[#This Row],[Attendance]]*Table4[[#This Row],[TICKET PRICE]]</f>
        <v>3564616.2</v>
      </c>
      <c r="N21" s="39"/>
      <c r="O21" s="39"/>
    </row>
    <row r="22" spans="1:15" x14ac:dyDescent="0.25">
      <c r="A22" s="4">
        <v>3</v>
      </c>
      <c r="B22" s="18">
        <v>46270</v>
      </c>
      <c r="C22" s="17">
        <v>0.625</v>
      </c>
      <c r="D22" s="17"/>
      <c r="E22" s="17"/>
      <c r="F22" s="1" t="s">
        <v>305</v>
      </c>
      <c r="G22" s="1" t="s">
        <v>163</v>
      </c>
      <c r="H22" s="4" t="s">
        <v>646</v>
      </c>
      <c r="I22" s="5">
        <v>45000</v>
      </c>
      <c r="J22" s="5">
        <v>38670</v>
      </c>
      <c r="K22" s="34" t="b">
        <v>1</v>
      </c>
      <c r="L22" s="35">
        <v>42.25</v>
      </c>
      <c r="M22" s="36">
        <f>Table4[[#This Row],[Attendance]]*Table4[[#This Row],[TICKET PRICE]]</f>
        <v>1633807.5</v>
      </c>
      <c r="N22" s="39"/>
      <c r="O22" s="39"/>
    </row>
    <row r="23" spans="1:15" x14ac:dyDescent="0.25">
      <c r="A23" s="4">
        <v>3</v>
      </c>
      <c r="B23" s="18">
        <v>46270</v>
      </c>
      <c r="C23" s="17">
        <v>0.625</v>
      </c>
      <c r="D23" s="17"/>
      <c r="E23" s="17"/>
      <c r="F23" s="1" t="s">
        <v>236</v>
      </c>
      <c r="G23" s="1" t="s">
        <v>210</v>
      </c>
      <c r="H23" s="4" t="s">
        <v>652</v>
      </c>
      <c r="I23" s="5">
        <v>35000</v>
      </c>
      <c r="J23" s="5">
        <v>28573</v>
      </c>
      <c r="K23" s="34" t="b">
        <v>1</v>
      </c>
      <c r="L23" s="35">
        <v>41.72</v>
      </c>
      <c r="M23" s="36">
        <f>Table4[[#This Row],[Attendance]]*Table4[[#This Row],[TICKET PRICE]]</f>
        <v>1192065.56</v>
      </c>
      <c r="N23" s="39"/>
      <c r="O23" s="39"/>
    </row>
    <row r="24" spans="1:15" x14ac:dyDescent="0.25">
      <c r="A24" s="4">
        <v>3</v>
      </c>
      <c r="B24" s="18">
        <v>46270</v>
      </c>
      <c r="C24" s="17">
        <v>0.625</v>
      </c>
      <c r="D24" s="17"/>
      <c r="E24" s="17"/>
      <c r="F24" s="1" t="s">
        <v>327</v>
      </c>
      <c r="G24" s="1" t="s">
        <v>91</v>
      </c>
      <c r="H24" s="4" t="s">
        <v>651</v>
      </c>
      <c r="I24" s="5">
        <v>40000</v>
      </c>
      <c r="J24" s="5">
        <v>36386</v>
      </c>
      <c r="K24" s="34" t="b">
        <v>1</v>
      </c>
      <c r="L24" s="35">
        <v>41.27</v>
      </c>
      <c r="M24" s="36">
        <f>Table4[[#This Row],[Attendance]]*Table4[[#This Row],[TICKET PRICE]]</f>
        <v>1501650.2200000002</v>
      </c>
      <c r="N24" s="39"/>
      <c r="O24" s="39"/>
    </row>
    <row r="25" spans="1:15" x14ac:dyDescent="0.25">
      <c r="A25" s="4">
        <v>3</v>
      </c>
      <c r="B25" s="18">
        <v>46270</v>
      </c>
      <c r="C25" s="17">
        <v>0.72916666666666663</v>
      </c>
      <c r="D25" s="17"/>
      <c r="E25" s="17"/>
      <c r="F25" s="1" t="s">
        <v>186</v>
      </c>
      <c r="G25" s="1" t="s">
        <v>557</v>
      </c>
      <c r="H25" s="4" t="s">
        <v>647</v>
      </c>
      <c r="I25" s="5">
        <v>80000</v>
      </c>
      <c r="J25" s="5">
        <v>51843</v>
      </c>
      <c r="K25" s="34" t="b">
        <v>1</v>
      </c>
      <c r="L25" s="35">
        <v>28.94</v>
      </c>
      <c r="M25" s="36">
        <f>Table4[[#This Row],[Attendance]]*Table4[[#This Row],[TICKET PRICE]]</f>
        <v>1500336.4200000002</v>
      </c>
      <c r="N25" s="39"/>
      <c r="O25" s="39"/>
    </row>
    <row r="26" spans="1:15" x14ac:dyDescent="0.25">
      <c r="A26" s="4">
        <v>3</v>
      </c>
      <c r="B26" s="18">
        <v>46271</v>
      </c>
      <c r="C26" s="17">
        <v>0.58333333333333337</v>
      </c>
      <c r="D26" s="17"/>
      <c r="E26" s="17"/>
      <c r="F26" s="1" t="s">
        <v>566</v>
      </c>
      <c r="G26" s="1" t="s">
        <v>371</v>
      </c>
      <c r="H26" s="4" t="s">
        <v>643</v>
      </c>
      <c r="I26" s="5">
        <v>8000</v>
      </c>
      <c r="J26" s="5">
        <v>5649</v>
      </c>
      <c r="K26" s="34" t="b">
        <v>1</v>
      </c>
      <c r="L26" s="35">
        <v>25.89</v>
      </c>
      <c r="M26" s="36">
        <f>Table4[[#This Row],[Attendance]]*Table4[[#This Row],[TICKET PRICE]]</f>
        <v>146252.61000000002</v>
      </c>
      <c r="N26" s="39"/>
      <c r="O26" s="39"/>
    </row>
    <row r="27" spans="1:15" x14ac:dyDescent="0.25">
      <c r="A27" s="4">
        <v>3</v>
      </c>
      <c r="B27" s="18">
        <v>46271</v>
      </c>
      <c r="C27" s="17">
        <v>0.58333333333333337</v>
      </c>
      <c r="D27" s="17"/>
      <c r="E27" s="17"/>
      <c r="F27" s="1" t="s">
        <v>139</v>
      </c>
      <c r="G27" s="1" t="s">
        <v>350</v>
      </c>
      <c r="H27" s="4" t="s">
        <v>653</v>
      </c>
      <c r="I27" s="5">
        <v>65000</v>
      </c>
      <c r="J27" s="5">
        <v>62775</v>
      </c>
      <c r="K27" s="34" t="b">
        <v>1</v>
      </c>
      <c r="L27" s="35">
        <v>59.85</v>
      </c>
      <c r="M27" s="36">
        <f>Table4[[#This Row],[Attendance]]*Table4[[#This Row],[TICKET PRICE]]</f>
        <v>3757083.75</v>
      </c>
      <c r="N27" s="39"/>
      <c r="O27" s="39"/>
    </row>
    <row r="28" spans="1:15" x14ac:dyDescent="0.25">
      <c r="A28" s="4">
        <v>3</v>
      </c>
      <c r="B28" s="18">
        <v>46271</v>
      </c>
      <c r="C28" s="17">
        <v>0.6875</v>
      </c>
      <c r="D28" s="17"/>
      <c r="E28" s="17"/>
      <c r="F28" s="1" t="s">
        <v>114</v>
      </c>
      <c r="G28" s="1" t="s">
        <v>283</v>
      </c>
      <c r="H28" s="4" t="s">
        <v>645</v>
      </c>
      <c r="I28" s="5">
        <v>45000</v>
      </c>
      <c r="J28" s="5">
        <v>44325</v>
      </c>
      <c r="K28" s="34" t="b">
        <v>1</v>
      </c>
      <c r="L28" s="35">
        <v>54.23</v>
      </c>
      <c r="M28" s="36">
        <f>Table4[[#This Row],[Attendance]]*Table4[[#This Row],[TICKET PRICE]]</f>
        <v>2403744.75</v>
      </c>
      <c r="N28" s="39"/>
      <c r="O28" s="39"/>
    </row>
    <row r="29" spans="1:15" hidden="1" x14ac:dyDescent="0.25">
      <c r="A29" s="4">
        <v>4</v>
      </c>
      <c r="B29" s="18">
        <v>46277</v>
      </c>
      <c r="C29" s="17">
        <v>0.52083333333333337</v>
      </c>
      <c r="D29" s="17"/>
      <c r="E29" s="17"/>
      <c r="F29" s="1" t="s">
        <v>163</v>
      </c>
      <c r="G29" s="1" t="s">
        <v>566</v>
      </c>
      <c r="H29" s="4" t="s">
        <v>656</v>
      </c>
      <c r="I29" s="5">
        <v>100000</v>
      </c>
      <c r="J29" s="5"/>
      <c r="K29" s="34" t="b">
        <v>0</v>
      </c>
      <c r="L29" s="35"/>
      <c r="M29" s="36">
        <f>Table4[[#This Row],[Attendance]]*Table4[[#This Row],[TICKET PRICE]]</f>
        <v>0</v>
      </c>
      <c r="N29" s="39"/>
      <c r="O29" s="39"/>
    </row>
    <row r="30" spans="1:15" hidden="1" x14ac:dyDescent="0.25">
      <c r="A30" s="4">
        <v>4</v>
      </c>
      <c r="B30" s="18">
        <v>46277</v>
      </c>
      <c r="C30" s="17">
        <v>0.625</v>
      </c>
      <c r="D30" s="17"/>
      <c r="E30" s="17"/>
      <c r="F30" s="1" t="s">
        <v>350</v>
      </c>
      <c r="G30" s="1" t="s">
        <v>41</v>
      </c>
      <c r="H30" s="4" t="s">
        <v>648</v>
      </c>
      <c r="I30" s="5">
        <v>23000</v>
      </c>
      <c r="J30" s="5"/>
      <c r="K30" s="34" t="b">
        <v>0</v>
      </c>
      <c r="L30" s="35"/>
      <c r="M30" s="36">
        <f>Table4[[#This Row],[Attendance]]*Table4[[#This Row],[TICKET PRICE]]</f>
        <v>0</v>
      </c>
      <c r="N30" s="39"/>
      <c r="O30" s="39"/>
    </row>
    <row r="31" spans="1:15" hidden="1" x14ac:dyDescent="0.25">
      <c r="A31" s="4">
        <v>4</v>
      </c>
      <c r="B31" s="18">
        <v>46277</v>
      </c>
      <c r="C31" s="17">
        <v>0.625</v>
      </c>
      <c r="D31" s="17"/>
      <c r="E31" s="17"/>
      <c r="F31" s="1" t="s">
        <v>371</v>
      </c>
      <c r="G31" s="1" t="s">
        <v>260</v>
      </c>
      <c r="H31" s="4" t="s">
        <v>654</v>
      </c>
      <c r="I31" s="5">
        <v>36000</v>
      </c>
      <c r="J31" s="5"/>
      <c r="K31" s="34" t="b">
        <v>0</v>
      </c>
      <c r="L31" s="35"/>
      <c r="M31" s="36">
        <f>Table4[[#This Row],[Attendance]]*Table4[[#This Row],[TICKET PRICE]]</f>
        <v>0</v>
      </c>
      <c r="N31" s="39"/>
      <c r="O31" s="39"/>
    </row>
    <row r="32" spans="1:15" hidden="1" x14ac:dyDescent="0.25">
      <c r="A32" s="4">
        <v>4</v>
      </c>
      <c r="B32" s="18">
        <v>46277</v>
      </c>
      <c r="C32" s="17">
        <v>0.625</v>
      </c>
      <c r="D32" s="17"/>
      <c r="E32" s="17"/>
      <c r="F32" s="1" t="s">
        <v>556</v>
      </c>
      <c r="G32" s="1" t="s">
        <v>557</v>
      </c>
      <c r="H32" s="4" t="s">
        <v>642</v>
      </c>
      <c r="I32" s="5">
        <v>29700</v>
      </c>
      <c r="J32" s="5"/>
      <c r="K32" s="34" t="b">
        <v>0</v>
      </c>
      <c r="L32" s="35"/>
      <c r="M32" s="36">
        <f>Table4[[#This Row],[Attendance]]*Table4[[#This Row],[TICKET PRICE]]</f>
        <v>0</v>
      </c>
      <c r="N32" s="39"/>
      <c r="O32" s="39"/>
    </row>
    <row r="33" spans="1:15" hidden="1" x14ac:dyDescent="0.25">
      <c r="A33" s="4">
        <v>4</v>
      </c>
      <c r="B33" s="18">
        <v>46277</v>
      </c>
      <c r="C33" s="17">
        <v>0.625</v>
      </c>
      <c r="D33" s="17"/>
      <c r="E33" s="17"/>
      <c r="F33" s="1" t="s">
        <v>139</v>
      </c>
      <c r="G33" s="1" t="s">
        <v>236</v>
      </c>
      <c r="H33" s="4" t="s">
        <v>653</v>
      </c>
      <c r="I33" s="5">
        <v>65000</v>
      </c>
      <c r="J33" s="5"/>
      <c r="K33" s="34" t="b">
        <v>0</v>
      </c>
      <c r="L33" s="35"/>
      <c r="M33" s="36">
        <f>Table4[[#This Row],[Attendance]]*Table4[[#This Row],[TICKET PRICE]]</f>
        <v>0</v>
      </c>
      <c r="N33" s="39"/>
      <c r="O33" s="39"/>
    </row>
    <row r="34" spans="1:15" hidden="1" x14ac:dyDescent="0.25">
      <c r="A34" s="4">
        <v>4</v>
      </c>
      <c r="B34" s="18">
        <v>46277</v>
      </c>
      <c r="C34" s="17">
        <v>0.72916666666666663</v>
      </c>
      <c r="D34" s="17"/>
      <c r="E34" s="17"/>
      <c r="F34" s="1" t="s">
        <v>327</v>
      </c>
      <c r="G34" s="1" t="s">
        <v>114</v>
      </c>
      <c r="H34" s="4" t="s">
        <v>651</v>
      </c>
      <c r="I34" s="5">
        <v>40000</v>
      </c>
      <c r="J34" s="5"/>
      <c r="K34" s="34" t="b">
        <v>0</v>
      </c>
      <c r="L34" s="35"/>
      <c r="M34" s="36">
        <f>Table4[[#This Row],[Attendance]]*Table4[[#This Row],[TICKET PRICE]]</f>
        <v>0</v>
      </c>
      <c r="N34" s="39"/>
      <c r="O34" s="39"/>
    </row>
    <row r="35" spans="1:15" hidden="1" x14ac:dyDescent="0.25">
      <c r="A35" s="4">
        <v>4</v>
      </c>
      <c r="B35" s="18">
        <v>46278</v>
      </c>
      <c r="C35" s="17">
        <v>0.58333333333333337</v>
      </c>
      <c r="D35" s="17"/>
      <c r="E35" s="17"/>
      <c r="F35" s="1" t="s">
        <v>210</v>
      </c>
      <c r="G35" s="1" t="s">
        <v>186</v>
      </c>
      <c r="H35" s="4" t="s">
        <v>657</v>
      </c>
      <c r="I35" s="5">
        <v>70000</v>
      </c>
      <c r="J35" s="5"/>
      <c r="K35" s="34" t="b">
        <v>0</v>
      </c>
      <c r="L35" s="35"/>
      <c r="M35" s="36">
        <f>Table4[[#This Row],[Attendance]]*Table4[[#This Row],[TICKET PRICE]]</f>
        <v>0</v>
      </c>
      <c r="N35" s="39"/>
      <c r="O35" s="39"/>
    </row>
    <row r="36" spans="1:15" hidden="1" x14ac:dyDescent="0.25">
      <c r="A36" s="4">
        <v>4</v>
      </c>
      <c r="B36" s="18">
        <v>46278</v>
      </c>
      <c r="C36" s="17">
        <v>0.58333333333333337</v>
      </c>
      <c r="D36" s="17"/>
      <c r="E36" s="17"/>
      <c r="F36" s="1" t="s">
        <v>283</v>
      </c>
      <c r="G36" s="1" t="s">
        <v>66</v>
      </c>
      <c r="H36" s="4" t="s">
        <v>650</v>
      </c>
      <c r="I36" s="5">
        <v>55000</v>
      </c>
      <c r="J36" s="5"/>
      <c r="K36" s="34" t="b">
        <v>0</v>
      </c>
      <c r="L36" s="35"/>
      <c r="M36" s="36">
        <f>Table4[[#This Row],[Attendance]]*Table4[[#This Row],[TICKET PRICE]]</f>
        <v>0</v>
      </c>
      <c r="N36" s="39"/>
      <c r="O36" s="39"/>
    </row>
    <row r="37" spans="1:15" hidden="1" x14ac:dyDescent="0.25">
      <c r="A37" s="4">
        <v>4</v>
      </c>
      <c r="B37" s="18">
        <v>46278</v>
      </c>
      <c r="C37" s="17">
        <v>0.6875</v>
      </c>
      <c r="D37" s="17"/>
      <c r="E37" s="17"/>
      <c r="F37" s="1" t="s">
        <v>91</v>
      </c>
      <c r="G37" s="1" t="s">
        <v>305</v>
      </c>
      <c r="H37" s="4" t="s">
        <v>658</v>
      </c>
      <c r="I37" s="5">
        <v>87000</v>
      </c>
      <c r="J37" s="5"/>
      <c r="K37" s="34" t="b">
        <v>0</v>
      </c>
      <c r="L37" s="35"/>
      <c r="M37" s="36">
        <f>Table4[[#This Row],[Attendance]]*Table4[[#This Row],[TICKET PRICE]]</f>
        <v>0</v>
      </c>
      <c r="N37" s="39"/>
      <c r="O37" s="39"/>
    </row>
    <row r="38" spans="1:15" hidden="1" x14ac:dyDescent="0.25">
      <c r="A38" s="4">
        <v>5</v>
      </c>
      <c r="B38" s="18">
        <v>46284</v>
      </c>
      <c r="C38" s="17">
        <v>0.52083333333333337</v>
      </c>
      <c r="D38" s="17"/>
      <c r="E38" s="17"/>
      <c r="F38" s="1" t="s">
        <v>186</v>
      </c>
      <c r="G38" s="1" t="s">
        <v>139</v>
      </c>
      <c r="H38" s="4" t="s">
        <v>647</v>
      </c>
      <c r="I38" s="5">
        <v>80000</v>
      </c>
      <c r="J38" s="5"/>
      <c r="K38" s="34" t="b">
        <v>0</v>
      </c>
      <c r="L38" s="35"/>
      <c r="M38" s="36">
        <f>Table4[[#This Row],[Attendance]]*Table4[[#This Row],[TICKET PRICE]]</f>
        <v>0</v>
      </c>
      <c r="N38" s="39"/>
      <c r="O38" s="39"/>
    </row>
    <row r="39" spans="1:15" hidden="1" x14ac:dyDescent="0.25">
      <c r="A39" s="4">
        <v>5</v>
      </c>
      <c r="B39" s="18">
        <v>46284</v>
      </c>
      <c r="C39" s="17">
        <v>0.625</v>
      </c>
      <c r="D39" s="17"/>
      <c r="E39" s="17"/>
      <c r="F39" s="1" t="s">
        <v>305</v>
      </c>
      <c r="G39" s="1" t="s">
        <v>114</v>
      </c>
      <c r="H39" s="4" t="s">
        <v>646</v>
      </c>
      <c r="I39" s="5">
        <v>45000</v>
      </c>
      <c r="J39" s="5"/>
      <c r="K39" s="34" t="b">
        <v>0</v>
      </c>
      <c r="L39" s="35"/>
      <c r="M39" s="36">
        <f>Table4[[#This Row],[Attendance]]*Table4[[#This Row],[TICKET PRICE]]</f>
        <v>0</v>
      </c>
      <c r="N39" s="39"/>
      <c r="O39" s="39"/>
    </row>
    <row r="40" spans="1:15" hidden="1" x14ac:dyDescent="0.25">
      <c r="A40" s="4">
        <v>5</v>
      </c>
      <c r="B40" s="18">
        <v>46284</v>
      </c>
      <c r="C40" s="17">
        <v>0.625</v>
      </c>
      <c r="D40" s="17"/>
      <c r="E40" s="17"/>
      <c r="F40" s="1" t="s">
        <v>236</v>
      </c>
      <c r="G40" s="1" t="s">
        <v>350</v>
      </c>
      <c r="H40" s="4" t="s">
        <v>652</v>
      </c>
      <c r="I40" s="5">
        <v>35000</v>
      </c>
      <c r="J40" s="5"/>
      <c r="K40" s="34" t="b">
        <v>0</v>
      </c>
      <c r="L40" s="35"/>
      <c r="M40" s="36">
        <f>Table4[[#This Row],[Attendance]]*Table4[[#This Row],[TICKET PRICE]]</f>
        <v>0</v>
      </c>
      <c r="N40" s="39"/>
      <c r="O40" s="39"/>
    </row>
    <row r="41" spans="1:15" hidden="1" x14ac:dyDescent="0.25">
      <c r="A41" s="4">
        <v>5</v>
      </c>
      <c r="B41" s="18">
        <v>46284</v>
      </c>
      <c r="C41" s="17">
        <v>0.625</v>
      </c>
      <c r="D41" s="17"/>
      <c r="E41" s="17"/>
      <c r="F41" s="1" t="s">
        <v>371</v>
      </c>
      <c r="G41" s="1" t="s">
        <v>41</v>
      </c>
      <c r="H41" s="4" t="s">
        <v>654</v>
      </c>
      <c r="I41" s="5">
        <v>36000</v>
      </c>
      <c r="J41" s="5"/>
      <c r="K41" s="34" t="b">
        <v>0</v>
      </c>
      <c r="L41" s="35"/>
      <c r="M41" s="36">
        <f>Table4[[#This Row],[Attendance]]*Table4[[#This Row],[TICKET PRICE]]</f>
        <v>0</v>
      </c>
      <c r="N41" s="39"/>
      <c r="O41" s="39"/>
    </row>
    <row r="42" spans="1:15" hidden="1" x14ac:dyDescent="0.25">
      <c r="A42" s="4">
        <v>5</v>
      </c>
      <c r="B42" s="18">
        <v>46284</v>
      </c>
      <c r="C42" s="17">
        <v>0.625</v>
      </c>
      <c r="D42" s="17"/>
      <c r="E42" s="17"/>
      <c r="F42" s="1" t="s">
        <v>566</v>
      </c>
      <c r="G42" s="1" t="s">
        <v>91</v>
      </c>
      <c r="H42" s="4" t="s">
        <v>643</v>
      </c>
      <c r="I42" s="5">
        <v>8000</v>
      </c>
      <c r="J42" s="5"/>
      <c r="K42" s="34" t="b">
        <v>0</v>
      </c>
      <c r="L42" s="35"/>
      <c r="M42" s="36">
        <f>Table4[[#This Row],[Attendance]]*Table4[[#This Row],[TICKET PRICE]]</f>
        <v>0</v>
      </c>
      <c r="N42" s="39"/>
      <c r="O42" s="39"/>
    </row>
    <row r="43" spans="1:15" hidden="1" x14ac:dyDescent="0.25">
      <c r="A43" s="4">
        <v>5</v>
      </c>
      <c r="B43" s="18">
        <v>46284</v>
      </c>
      <c r="C43" s="17">
        <v>0.72916666666666663</v>
      </c>
      <c r="D43" s="17"/>
      <c r="E43" s="17"/>
      <c r="F43" s="1" t="s">
        <v>210</v>
      </c>
      <c r="G43" s="1" t="s">
        <v>556</v>
      </c>
      <c r="H43" s="4" t="s">
        <v>657</v>
      </c>
      <c r="I43" s="5">
        <v>70000</v>
      </c>
      <c r="J43" s="5"/>
      <c r="K43" s="34" t="b">
        <v>0</v>
      </c>
      <c r="L43" s="35"/>
      <c r="M43" s="36">
        <f>Table4[[#This Row],[Attendance]]*Table4[[#This Row],[TICKET PRICE]]</f>
        <v>0</v>
      </c>
      <c r="N43" s="39"/>
      <c r="O43" s="39"/>
    </row>
    <row r="44" spans="1:15" hidden="1" x14ac:dyDescent="0.25">
      <c r="A44" s="4">
        <v>5</v>
      </c>
      <c r="B44" s="18">
        <v>46285</v>
      </c>
      <c r="C44" s="17">
        <v>0.58333333333333337</v>
      </c>
      <c r="D44" s="17"/>
      <c r="E44" s="17"/>
      <c r="F44" s="1" t="s">
        <v>557</v>
      </c>
      <c r="G44" s="1" t="s">
        <v>283</v>
      </c>
      <c r="H44" s="4" t="s">
        <v>644</v>
      </c>
      <c r="I44" s="5">
        <v>17000</v>
      </c>
      <c r="J44" s="5"/>
      <c r="K44" s="34" t="b">
        <v>0</v>
      </c>
      <c r="L44" s="35"/>
      <c r="M44" s="36">
        <f>Table4[[#This Row],[Attendance]]*Table4[[#This Row],[TICKET PRICE]]</f>
        <v>0</v>
      </c>
      <c r="N44" s="39"/>
      <c r="O44" s="39"/>
    </row>
    <row r="45" spans="1:15" hidden="1" x14ac:dyDescent="0.25">
      <c r="A45" s="4">
        <v>5</v>
      </c>
      <c r="B45" s="18">
        <v>46285</v>
      </c>
      <c r="C45" s="17">
        <v>0.58333333333333337</v>
      </c>
      <c r="D45" s="17"/>
      <c r="E45" s="17"/>
      <c r="F45" s="1" t="s">
        <v>260</v>
      </c>
      <c r="G45" s="1" t="s">
        <v>163</v>
      </c>
      <c r="H45" s="4" t="s">
        <v>655</v>
      </c>
      <c r="I45" s="5">
        <v>40000</v>
      </c>
      <c r="J45" s="5"/>
      <c r="K45" s="34" t="b">
        <v>0</v>
      </c>
      <c r="L45" s="35"/>
      <c r="M45" s="36">
        <f>Table4[[#This Row],[Attendance]]*Table4[[#This Row],[TICKET PRICE]]</f>
        <v>0</v>
      </c>
      <c r="N45" s="39"/>
      <c r="O45" s="39"/>
    </row>
    <row r="46" spans="1:15" hidden="1" x14ac:dyDescent="0.25">
      <c r="A46" s="4">
        <v>5</v>
      </c>
      <c r="B46" s="18">
        <v>46285</v>
      </c>
      <c r="C46" s="17">
        <v>0.6875</v>
      </c>
      <c r="D46" s="17"/>
      <c r="E46" s="17"/>
      <c r="F46" s="1" t="s">
        <v>66</v>
      </c>
      <c r="G46" s="1" t="s">
        <v>327</v>
      </c>
      <c r="H46" s="4" t="s">
        <v>659</v>
      </c>
      <c r="I46" s="5">
        <v>87000</v>
      </c>
      <c r="J46" s="5"/>
      <c r="K46" s="34" t="b">
        <v>0</v>
      </c>
      <c r="L46" s="35"/>
      <c r="M46" s="36">
        <f>Table4[[#This Row],[Attendance]]*Table4[[#This Row],[TICKET PRICE]]</f>
        <v>0</v>
      </c>
      <c r="N46" s="39"/>
      <c r="O46" s="39"/>
    </row>
    <row r="47" spans="1:15" hidden="1" x14ac:dyDescent="0.25">
      <c r="A47" s="4">
        <v>6</v>
      </c>
      <c r="B47" s="18">
        <v>46305</v>
      </c>
      <c r="C47" s="17">
        <v>0.52083333333333337</v>
      </c>
      <c r="D47" s="17"/>
      <c r="E47" s="17"/>
      <c r="F47" s="1" t="s">
        <v>139</v>
      </c>
      <c r="G47" s="1" t="s">
        <v>556</v>
      </c>
      <c r="H47" s="4" t="s">
        <v>653</v>
      </c>
      <c r="I47" s="5">
        <v>65000</v>
      </c>
      <c r="J47" s="5"/>
      <c r="K47" s="34" t="b">
        <v>0</v>
      </c>
      <c r="L47" s="35"/>
      <c r="M47" s="36">
        <f>Table4[[#This Row],[Attendance]]*Table4[[#This Row],[TICKET PRICE]]</f>
        <v>0</v>
      </c>
      <c r="N47" s="39"/>
      <c r="O47" s="39"/>
    </row>
    <row r="48" spans="1:15" hidden="1" x14ac:dyDescent="0.25">
      <c r="A48" s="4">
        <v>6</v>
      </c>
      <c r="B48" s="18">
        <v>46305</v>
      </c>
      <c r="C48" s="17">
        <v>0.625</v>
      </c>
      <c r="D48" s="17"/>
      <c r="E48" s="17"/>
      <c r="F48" s="1" t="s">
        <v>66</v>
      </c>
      <c r="G48" s="1" t="s">
        <v>305</v>
      </c>
      <c r="H48" s="4" t="s">
        <v>659</v>
      </c>
      <c r="I48" s="5">
        <v>87000</v>
      </c>
      <c r="J48" s="5"/>
      <c r="K48" s="34" t="b">
        <v>0</v>
      </c>
      <c r="L48" s="35"/>
      <c r="M48" s="36">
        <f>Table4[[#This Row],[Attendance]]*Table4[[#This Row],[TICKET PRICE]]</f>
        <v>0</v>
      </c>
      <c r="N48" s="39"/>
      <c r="O48" s="39"/>
    </row>
    <row r="49" spans="1:15" hidden="1" x14ac:dyDescent="0.25">
      <c r="A49" s="4">
        <v>6</v>
      </c>
      <c r="B49" s="18">
        <v>46305</v>
      </c>
      <c r="C49" s="17">
        <v>0.625</v>
      </c>
      <c r="D49" s="17"/>
      <c r="E49" s="17"/>
      <c r="F49" s="1" t="s">
        <v>163</v>
      </c>
      <c r="G49" s="1" t="s">
        <v>371</v>
      </c>
      <c r="H49" s="4" t="s">
        <v>656</v>
      </c>
      <c r="I49" s="5">
        <v>100000</v>
      </c>
      <c r="J49" s="5"/>
      <c r="K49" s="34" t="b">
        <v>0</v>
      </c>
      <c r="L49" s="35"/>
      <c r="M49" s="36">
        <f>Table4[[#This Row],[Attendance]]*Table4[[#This Row],[TICKET PRICE]]</f>
        <v>0</v>
      </c>
      <c r="N49" s="39"/>
      <c r="O49" s="39"/>
    </row>
    <row r="50" spans="1:15" hidden="1" x14ac:dyDescent="0.25">
      <c r="A50" s="4">
        <v>6</v>
      </c>
      <c r="B50" s="18">
        <v>46305</v>
      </c>
      <c r="C50" s="17">
        <v>0.625</v>
      </c>
      <c r="D50" s="17"/>
      <c r="E50" s="17"/>
      <c r="F50" s="1" t="s">
        <v>557</v>
      </c>
      <c r="G50" s="1" t="s">
        <v>327</v>
      </c>
      <c r="H50" s="4" t="s">
        <v>644</v>
      </c>
      <c r="I50" s="5">
        <v>17000</v>
      </c>
      <c r="J50" s="5"/>
      <c r="K50" s="34" t="b">
        <v>0</v>
      </c>
      <c r="L50" s="35"/>
      <c r="M50" s="36">
        <f>Table4[[#This Row],[Attendance]]*Table4[[#This Row],[TICKET PRICE]]</f>
        <v>0</v>
      </c>
      <c r="N50" s="39"/>
      <c r="O50" s="39"/>
    </row>
    <row r="51" spans="1:15" hidden="1" x14ac:dyDescent="0.25">
      <c r="A51" s="4">
        <v>6</v>
      </c>
      <c r="B51" s="18">
        <v>46305</v>
      </c>
      <c r="C51" s="17">
        <v>0.625</v>
      </c>
      <c r="D51" s="17"/>
      <c r="E51" s="17"/>
      <c r="F51" s="1" t="s">
        <v>41</v>
      </c>
      <c r="G51" s="1" t="s">
        <v>236</v>
      </c>
      <c r="H51" s="4" t="s">
        <v>660</v>
      </c>
      <c r="I51" s="5">
        <v>70000</v>
      </c>
      <c r="J51" s="5"/>
      <c r="K51" s="34" t="b">
        <v>0</v>
      </c>
      <c r="L51" s="35"/>
      <c r="M51" s="36">
        <f>Table4[[#This Row],[Attendance]]*Table4[[#This Row],[TICKET PRICE]]</f>
        <v>0</v>
      </c>
      <c r="N51" s="39"/>
      <c r="O51" s="39"/>
    </row>
    <row r="52" spans="1:15" hidden="1" x14ac:dyDescent="0.25">
      <c r="A52" s="4">
        <v>6</v>
      </c>
      <c r="B52" s="18">
        <v>46305</v>
      </c>
      <c r="C52" s="17">
        <v>0.72916666666666663</v>
      </c>
      <c r="D52" s="17"/>
      <c r="E52" s="17"/>
      <c r="F52" s="1" t="s">
        <v>91</v>
      </c>
      <c r="G52" s="1" t="s">
        <v>260</v>
      </c>
      <c r="H52" s="4" t="s">
        <v>658</v>
      </c>
      <c r="I52" s="5">
        <v>87000</v>
      </c>
      <c r="J52" s="5"/>
      <c r="K52" s="34" t="b">
        <v>0</v>
      </c>
      <c r="L52" s="35"/>
      <c r="M52" s="36">
        <f>Table4[[#This Row],[Attendance]]*Table4[[#This Row],[TICKET PRICE]]</f>
        <v>0</v>
      </c>
      <c r="N52" s="39"/>
      <c r="O52" s="39"/>
    </row>
    <row r="53" spans="1:15" hidden="1" x14ac:dyDescent="0.25">
      <c r="A53" s="4">
        <v>6</v>
      </c>
      <c r="B53" s="18">
        <v>46306</v>
      </c>
      <c r="C53" s="17">
        <v>0.58333333333333337</v>
      </c>
      <c r="D53" s="17"/>
      <c r="E53" s="17"/>
      <c r="F53" s="1" t="s">
        <v>283</v>
      </c>
      <c r="G53" s="1" t="s">
        <v>210</v>
      </c>
      <c r="H53" s="4" t="s">
        <v>650</v>
      </c>
      <c r="I53" s="5">
        <v>55000</v>
      </c>
      <c r="J53" s="5"/>
      <c r="K53" s="34" t="b">
        <v>0</v>
      </c>
      <c r="L53" s="35"/>
      <c r="M53" s="36">
        <f>Table4[[#This Row],[Attendance]]*Table4[[#This Row],[TICKET PRICE]]</f>
        <v>0</v>
      </c>
      <c r="N53" s="39"/>
      <c r="O53" s="39"/>
    </row>
    <row r="54" spans="1:15" hidden="1" x14ac:dyDescent="0.25">
      <c r="A54" s="4">
        <v>6</v>
      </c>
      <c r="B54" s="18">
        <v>46306</v>
      </c>
      <c r="C54" s="17">
        <v>0.58333333333333337</v>
      </c>
      <c r="D54" s="17"/>
      <c r="E54" s="17"/>
      <c r="F54" s="1" t="s">
        <v>350</v>
      </c>
      <c r="G54" s="1" t="s">
        <v>186</v>
      </c>
      <c r="H54" s="4" t="s">
        <v>648</v>
      </c>
      <c r="I54" s="5">
        <v>23000</v>
      </c>
      <c r="J54" s="5"/>
      <c r="K54" s="34" t="b">
        <v>0</v>
      </c>
      <c r="L54" s="35"/>
      <c r="M54" s="36">
        <f>Table4[[#This Row],[Attendance]]*Table4[[#This Row],[TICKET PRICE]]</f>
        <v>0</v>
      </c>
      <c r="N54" s="39"/>
      <c r="O54" s="39"/>
    </row>
    <row r="55" spans="1:15" hidden="1" x14ac:dyDescent="0.25">
      <c r="A55" s="4">
        <v>6</v>
      </c>
      <c r="B55" s="18">
        <v>46306</v>
      </c>
      <c r="C55" s="17">
        <v>0.6875</v>
      </c>
      <c r="D55" s="17"/>
      <c r="E55" s="17"/>
      <c r="F55" s="1" t="s">
        <v>114</v>
      </c>
      <c r="G55" s="1" t="s">
        <v>566</v>
      </c>
      <c r="H55" s="4" t="s">
        <v>645</v>
      </c>
      <c r="I55" s="5">
        <v>45000</v>
      </c>
      <c r="J55" s="5"/>
      <c r="K55" s="34" t="b">
        <v>0</v>
      </c>
      <c r="L55" s="35"/>
      <c r="M55" s="36">
        <f>Table4[[#This Row],[Attendance]]*Table4[[#This Row],[TICKET PRICE]]</f>
        <v>0</v>
      </c>
      <c r="N55" s="39"/>
      <c r="O55" s="39"/>
    </row>
    <row r="56" spans="1:15" hidden="1" x14ac:dyDescent="0.25">
      <c r="A56" s="4">
        <v>7</v>
      </c>
      <c r="B56" s="18">
        <v>46312</v>
      </c>
      <c r="C56" s="17">
        <v>0.52083333333333337</v>
      </c>
      <c r="D56" s="17"/>
      <c r="E56" s="17"/>
      <c r="F56" s="1" t="s">
        <v>260</v>
      </c>
      <c r="G56" s="1" t="s">
        <v>114</v>
      </c>
      <c r="H56" s="4" t="s">
        <v>655</v>
      </c>
      <c r="I56" s="5">
        <v>40000</v>
      </c>
      <c r="J56" s="5"/>
      <c r="K56" s="34" t="b">
        <v>0</v>
      </c>
      <c r="L56" s="35"/>
      <c r="M56" s="36">
        <f>Table4[[#This Row],[Attendance]]*Table4[[#This Row],[TICKET PRICE]]</f>
        <v>0</v>
      </c>
      <c r="N56" s="39"/>
      <c r="O56" s="39"/>
    </row>
    <row r="57" spans="1:15" hidden="1" x14ac:dyDescent="0.25">
      <c r="A57" s="4">
        <v>7</v>
      </c>
      <c r="B57" s="18">
        <v>46312</v>
      </c>
      <c r="C57" s="17">
        <v>0.625</v>
      </c>
      <c r="D57" s="17"/>
      <c r="E57" s="17"/>
      <c r="F57" s="1" t="s">
        <v>566</v>
      </c>
      <c r="G57" s="1" t="s">
        <v>66</v>
      </c>
      <c r="H57" s="4" t="s">
        <v>643</v>
      </c>
      <c r="I57" s="5">
        <v>8000</v>
      </c>
      <c r="J57" s="5"/>
      <c r="K57" s="34" t="b">
        <v>0</v>
      </c>
      <c r="L57" s="35"/>
      <c r="M57" s="36">
        <f>Table4[[#This Row],[Attendance]]*Table4[[#This Row],[TICKET PRICE]]</f>
        <v>0</v>
      </c>
      <c r="N57" s="39"/>
      <c r="O57" s="39"/>
    </row>
    <row r="58" spans="1:15" hidden="1" x14ac:dyDescent="0.25">
      <c r="A58" s="4">
        <v>7</v>
      </c>
      <c r="B58" s="18">
        <v>46312</v>
      </c>
      <c r="C58" s="17">
        <v>0.625</v>
      </c>
      <c r="D58" s="17"/>
      <c r="E58" s="17"/>
      <c r="F58" s="1" t="s">
        <v>163</v>
      </c>
      <c r="G58" s="1" t="s">
        <v>41</v>
      </c>
      <c r="H58" s="4" t="s">
        <v>656</v>
      </c>
      <c r="I58" s="5">
        <v>100000</v>
      </c>
      <c r="J58" s="5"/>
      <c r="K58" s="34" t="b">
        <v>0</v>
      </c>
      <c r="L58" s="35"/>
      <c r="M58" s="36">
        <f>Table4[[#This Row],[Attendance]]*Table4[[#This Row],[TICKET PRICE]]</f>
        <v>0</v>
      </c>
      <c r="N58" s="39"/>
      <c r="O58" s="39"/>
    </row>
    <row r="59" spans="1:15" hidden="1" x14ac:dyDescent="0.25">
      <c r="A59" s="4">
        <v>7</v>
      </c>
      <c r="B59" s="18">
        <v>46312</v>
      </c>
      <c r="C59" s="17">
        <v>0.625</v>
      </c>
      <c r="D59" s="17"/>
      <c r="E59" s="17"/>
      <c r="F59" s="1" t="s">
        <v>556</v>
      </c>
      <c r="G59" s="1" t="s">
        <v>350</v>
      </c>
      <c r="H59" s="4" t="s">
        <v>642</v>
      </c>
      <c r="I59" s="5">
        <v>29700</v>
      </c>
      <c r="J59" s="5"/>
      <c r="K59" s="34" t="b">
        <v>0</v>
      </c>
      <c r="L59" s="35"/>
      <c r="M59" s="36">
        <f>Table4[[#This Row],[Attendance]]*Table4[[#This Row],[TICKET PRICE]]</f>
        <v>0</v>
      </c>
      <c r="N59" s="39"/>
      <c r="O59" s="39"/>
    </row>
    <row r="60" spans="1:15" hidden="1" x14ac:dyDescent="0.25">
      <c r="A60" s="4">
        <v>7</v>
      </c>
      <c r="B60" s="18">
        <v>46312</v>
      </c>
      <c r="C60" s="17">
        <v>0.625</v>
      </c>
      <c r="D60" s="17"/>
      <c r="E60" s="17"/>
      <c r="F60" s="1" t="s">
        <v>283</v>
      </c>
      <c r="G60" s="1" t="s">
        <v>139</v>
      </c>
      <c r="H60" s="4" t="s">
        <v>650</v>
      </c>
      <c r="I60" s="5">
        <v>55000</v>
      </c>
      <c r="J60" s="5"/>
      <c r="K60" s="34" t="b">
        <v>0</v>
      </c>
      <c r="L60" s="35"/>
      <c r="M60" s="36">
        <f>Table4[[#This Row],[Attendance]]*Table4[[#This Row],[TICKET PRICE]]</f>
        <v>0</v>
      </c>
      <c r="N60" s="39"/>
      <c r="O60" s="39"/>
    </row>
    <row r="61" spans="1:15" hidden="1" x14ac:dyDescent="0.25">
      <c r="A61" s="4">
        <v>7</v>
      </c>
      <c r="B61" s="18">
        <v>46312</v>
      </c>
      <c r="C61" s="17">
        <v>0.72916666666666663</v>
      </c>
      <c r="D61" s="17"/>
      <c r="E61" s="17"/>
      <c r="F61" s="1" t="s">
        <v>327</v>
      </c>
      <c r="G61" s="1" t="s">
        <v>210</v>
      </c>
      <c r="H61" s="4" t="s">
        <v>651</v>
      </c>
      <c r="I61" s="5">
        <v>40000</v>
      </c>
      <c r="J61" s="5"/>
      <c r="K61" s="34" t="b">
        <v>0</v>
      </c>
      <c r="L61" s="35"/>
      <c r="M61" s="36">
        <f>Table4[[#This Row],[Attendance]]*Table4[[#This Row],[TICKET PRICE]]</f>
        <v>0</v>
      </c>
      <c r="N61" s="39"/>
      <c r="O61" s="39"/>
    </row>
    <row r="62" spans="1:15" hidden="1" x14ac:dyDescent="0.25">
      <c r="A62" s="4">
        <v>7</v>
      </c>
      <c r="B62" s="18">
        <v>46313</v>
      </c>
      <c r="C62" s="17">
        <v>0.58333333333333337</v>
      </c>
      <c r="D62" s="17"/>
      <c r="E62" s="17"/>
      <c r="F62" s="1" t="s">
        <v>186</v>
      </c>
      <c r="G62" s="1" t="s">
        <v>236</v>
      </c>
      <c r="H62" s="4" t="s">
        <v>647</v>
      </c>
      <c r="I62" s="5">
        <v>80000</v>
      </c>
      <c r="J62" s="5"/>
      <c r="K62" s="34" t="b">
        <v>0</v>
      </c>
      <c r="L62" s="35"/>
      <c r="M62" s="36">
        <f>Table4[[#This Row],[Attendance]]*Table4[[#This Row],[TICKET PRICE]]</f>
        <v>0</v>
      </c>
      <c r="N62" s="39"/>
      <c r="O62" s="39"/>
    </row>
    <row r="63" spans="1:15" hidden="1" x14ac:dyDescent="0.25">
      <c r="A63" s="4">
        <v>7</v>
      </c>
      <c r="B63" s="18">
        <v>46313</v>
      </c>
      <c r="C63" s="17">
        <v>0.58333333333333337</v>
      </c>
      <c r="D63" s="17"/>
      <c r="E63" s="17"/>
      <c r="F63" s="1" t="s">
        <v>371</v>
      </c>
      <c r="G63" s="1" t="s">
        <v>91</v>
      </c>
      <c r="H63" s="4" t="s">
        <v>654</v>
      </c>
      <c r="I63" s="5">
        <v>36000</v>
      </c>
      <c r="J63" s="5"/>
      <c r="K63" s="34" t="b">
        <v>0</v>
      </c>
      <c r="L63" s="35"/>
      <c r="M63" s="36">
        <f>Table4[[#This Row],[Attendance]]*Table4[[#This Row],[TICKET PRICE]]</f>
        <v>0</v>
      </c>
      <c r="N63" s="39"/>
      <c r="O63" s="39"/>
    </row>
    <row r="64" spans="1:15" hidden="1" x14ac:dyDescent="0.25">
      <c r="A64" s="4">
        <v>7</v>
      </c>
      <c r="B64" s="18">
        <v>46313</v>
      </c>
      <c r="C64" s="17">
        <v>0.6875</v>
      </c>
      <c r="D64" s="17"/>
      <c r="E64" s="17"/>
      <c r="F64" s="1" t="s">
        <v>305</v>
      </c>
      <c r="G64" s="1" t="s">
        <v>557</v>
      </c>
      <c r="H64" s="4" t="s">
        <v>646</v>
      </c>
      <c r="I64" s="5">
        <v>45000</v>
      </c>
      <c r="J64" s="5"/>
      <c r="K64" s="34" t="b">
        <v>0</v>
      </c>
      <c r="L64" s="35"/>
      <c r="M64" s="36">
        <f>Table4[[#This Row],[Attendance]]*Table4[[#This Row],[TICKET PRICE]]</f>
        <v>0</v>
      </c>
      <c r="N64" s="39"/>
      <c r="O64" s="39"/>
    </row>
    <row r="65" spans="1:15" hidden="1" x14ac:dyDescent="0.25">
      <c r="A65" s="4">
        <v>8</v>
      </c>
      <c r="B65" s="18">
        <v>46319</v>
      </c>
      <c r="C65" s="17">
        <v>0.52083333333333337</v>
      </c>
      <c r="D65" s="17"/>
      <c r="E65" s="17"/>
      <c r="F65" s="1" t="s">
        <v>66</v>
      </c>
      <c r="G65" s="1" t="s">
        <v>260</v>
      </c>
      <c r="H65" s="4" t="s">
        <v>659</v>
      </c>
      <c r="I65" s="5">
        <v>87000</v>
      </c>
      <c r="J65" s="5"/>
      <c r="K65" s="34" t="b">
        <v>0</v>
      </c>
      <c r="L65" s="35"/>
      <c r="M65" s="36">
        <f>Table4[[#This Row],[Attendance]]*Table4[[#This Row],[TICKET PRICE]]</f>
        <v>0</v>
      </c>
      <c r="N65" s="39"/>
      <c r="O65" s="39"/>
    </row>
    <row r="66" spans="1:15" hidden="1" x14ac:dyDescent="0.25">
      <c r="A66" s="4">
        <v>8</v>
      </c>
      <c r="B66" s="18">
        <v>46319</v>
      </c>
      <c r="C66" s="17">
        <v>0.625</v>
      </c>
      <c r="D66" s="17"/>
      <c r="E66" s="17"/>
      <c r="F66" s="1" t="s">
        <v>210</v>
      </c>
      <c r="G66" s="1" t="s">
        <v>305</v>
      </c>
      <c r="H66" s="4" t="s">
        <v>657</v>
      </c>
      <c r="I66" s="5">
        <v>70000</v>
      </c>
      <c r="J66" s="5"/>
      <c r="K66" s="34" t="b">
        <v>0</v>
      </c>
      <c r="L66" s="35"/>
      <c r="M66" s="36">
        <f>Table4[[#This Row],[Attendance]]*Table4[[#This Row],[TICKET PRICE]]</f>
        <v>0</v>
      </c>
      <c r="N66" s="39"/>
      <c r="O66" s="39"/>
    </row>
    <row r="67" spans="1:15" hidden="1" x14ac:dyDescent="0.25">
      <c r="A67" s="4">
        <v>8</v>
      </c>
      <c r="B67" s="18">
        <v>46319</v>
      </c>
      <c r="C67" s="17">
        <v>0.625</v>
      </c>
      <c r="D67" s="17"/>
      <c r="E67" s="17"/>
      <c r="F67" s="1" t="s">
        <v>350</v>
      </c>
      <c r="G67" s="1" t="s">
        <v>283</v>
      </c>
      <c r="H67" s="4" t="s">
        <v>648</v>
      </c>
      <c r="I67" s="5">
        <v>23000</v>
      </c>
      <c r="J67" s="5"/>
      <c r="K67" s="34" t="b">
        <v>0</v>
      </c>
      <c r="L67" s="35"/>
      <c r="M67" s="36">
        <f>Table4[[#This Row],[Attendance]]*Table4[[#This Row],[TICKET PRICE]]</f>
        <v>0</v>
      </c>
      <c r="N67" s="39"/>
      <c r="O67" s="39"/>
    </row>
    <row r="68" spans="1:15" hidden="1" x14ac:dyDescent="0.25">
      <c r="A68" s="4">
        <v>8</v>
      </c>
      <c r="B68" s="18">
        <v>46319</v>
      </c>
      <c r="C68" s="17">
        <v>0.625</v>
      </c>
      <c r="D68" s="17"/>
      <c r="E68" s="17"/>
      <c r="F68" s="1" t="s">
        <v>114</v>
      </c>
      <c r="G68" s="1" t="s">
        <v>371</v>
      </c>
      <c r="H68" s="4" t="s">
        <v>645</v>
      </c>
      <c r="I68" s="5">
        <v>45000</v>
      </c>
      <c r="J68" s="5"/>
      <c r="K68" s="34" t="b">
        <v>0</v>
      </c>
      <c r="L68" s="35"/>
      <c r="M68" s="36">
        <f>Table4[[#This Row],[Attendance]]*Table4[[#This Row],[TICKET PRICE]]</f>
        <v>0</v>
      </c>
      <c r="N68" s="39"/>
      <c r="O68" s="39"/>
    </row>
    <row r="69" spans="1:15" hidden="1" x14ac:dyDescent="0.25">
      <c r="A69" s="4">
        <v>8</v>
      </c>
      <c r="B69" s="18">
        <v>46319</v>
      </c>
      <c r="C69" s="17">
        <v>0.625</v>
      </c>
      <c r="D69" s="17"/>
      <c r="E69" s="17"/>
      <c r="F69" s="1" t="s">
        <v>557</v>
      </c>
      <c r="G69" s="1" t="s">
        <v>566</v>
      </c>
      <c r="H69" s="4" t="s">
        <v>644</v>
      </c>
      <c r="I69" s="5">
        <v>17000</v>
      </c>
      <c r="J69" s="5"/>
      <c r="K69" s="34" t="b">
        <v>0</v>
      </c>
      <c r="L69" s="35"/>
      <c r="M69" s="36">
        <f>Table4[[#This Row],[Attendance]]*Table4[[#This Row],[TICKET PRICE]]</f>
        <v>0</v>
      </c>
      <c r="N69" s="39"/>
      <c r="O69" s="39"/>
    </row>
    <row r="70" spans="1:15" hidden="1" x14ac:dyDescent="0.25">
      <c r="A70" s="4">
        <v>8</v>
      </c>
      <c r="B70" s="18">
        <v>46319</v>
      </c>
      <c r="C70" s="17">
        <v>0.72916666666666663</v>
      </c>
      <c r="D70" s="17"/>
      <c r="E70" s="17"/>
      <c r="F70" s="1" t="s">
        <v>139</v>
      </c>
      <c r="G70" s="1" t="s">
        <v>327</v>
      </c>
      <c r="H70" s="4" t="s">
        <v>653</v>
      </c>
      <c r="I70" s="5">
        <v>65000</v>
      </c>
      <c r="J70" s="5"/>
      <c r="K70" s="34" t="b">
        <v>0</v>
      </c>
      <c r="L70" s="35"/>
      <c r="M70" s="36">
        <f>Table4[[#This Row],[Attendance]]*Table4[[#This Row],[TICKET PRICE]]</f>
        <v>0</v>
      </c>
      <c r="N70" s="39"/>
      <c r="O70" s="39"/>
    </row>
    <row r="71" spans="1:15" hidden="1" x14ac:dyDescent="0.25">
      <c r="A71" s="4">
        <v>8</v>
      </c>
      <c r="B71" s="18">
        <v>46320</v>
      </c>
      <c r="C71" s="17">
        <v>0.58333333333333337</v>
      </c>
      <c r="D71" s="17"/>
      <c r="E71" s="17"/>
      <c r="F71" s="1" t="s">
        <v>91</v>
      </c>
      <c r="G71" s="1" t="s">
        <v>163</v>
      </c>
      <c r="H71" s="4" t="s">
        <v>658</v>
      </c>
      <c r="I71" s="5">
        <v>87000</v>
      </c>
      <c r="J71" s="5"/>
      <c r="K71" s="34" t="b">
        <v>0</v>
      </c>
      <c r="L71" s="35"/>
      <c r="M71" s="36">
        <f>Table4[[#This Row],[Attendance]]*Table4[[#This Row],[TICKET PRICE]]</f>
        <v>0</v>
      </c>
      <c r="N71" s="39"/>
      <c r="O71" s="39"/>
    </row>
    <row r="72" spans="1:15" hidden="1" x14ac:dyDescent="0.25">
      <c r="A72" s="4">
        <v>8</v>
      </c>
      <c r="B72" s="18">
        <v>46320</v>
      </c>
      <c r="C72" s="17">
        <v>0.58333333333333337</v>
      </c>
      <c r="D72" s="17"/>
      <c r="E72" s="17"/>
      <c r="F72" s="1" t="s">
        <v>236</v>
      </c>
      <c r="G72" s="1" t="s">
        <v>556</v>
      </c>
      <c r="H72" s="4" t="s">
        <v>652</v>
      </c>
      <c r="I72" s="5">
        <v>35000</v>
      </c>
      <c r="J72" s="5"/>
      <c r="K72" s="34" t="b">
        <v>0</v>
      </c>
      <c r="L72" s="35"/>
      <c r="M72" s="36">
        <f>Table4[[#This Row],[Attendance]]*Table4[[#This Row],[TICKET PRICE]]</f>
        <v>0</v>
      </c>
      <c r="N72" s="39"/>
      <c r="O72" s="39"/>
    </row>
    <row r="73" spans="1:15" hidden="1" x14ac:dyDescent="0.25">
      <c r="A73" s="4">
        <v>8</v>
      </c>
      <c r="B73" s="18">
        <v>46320</v>
      </c>
      <c r="C73" s="17">
        <v>0.6875</v>
      </c>
      <c r="D73" s="17"/>
      <c r="E73" s="17"/>
      <c r="F73" s="1" t="s">
        <v>41</v>
      </c>
      <c r="G73" s="1" t="s">
        <v>186</v>
      </c>
      <c r="H73" s="4" t="s">
        <v>660</v>
      </c>
      <c r="I73" s="5">
        <v>70000</v>
      </c>
      <c r="J73" s="5"/>
      <c r="K73" s="34" t="b">
        <v>0</v>
      </c>
      <c r="L73" s="35"/>
      <c r="M73" s="36">
        <f>Table4[[#This Row],[Attendance]]*Table4[[#This Row],[TICKET PRICE]]</f>
        <v>0</v>
      </c>
      <c r="N73" s="39"/>
      <c r="O73" s="39"/>
    </row>
    <row r="74" spans="1:15" hidden="1" x14ac:dyDescent="0.25">
      <c r="A74" s="4">
        <v>9</v>
      </c>
      <c r="B74" s="18">
        <v>46326</v>
      </c>
      <c r="C74" s="17">
        <v>0.52083333333333337</v>
      </c>
      <c r="D74" s="17"/>
      <c r="E74" s="17"/>
      <c r="F74" s="1" t="s">
        <v>566</v>
      </c>
      <c r="G74" s="1" t="s">
        <v>210</v>
      </c>
      <c r="H74" s="4" t="s">
        <v>643</v>
      </c>
      <c r="I74" s="5">
        <v>8000</v>
      </c>
      <c r="J74" s="5"/>
      <c r="K74" s="34" t="b">
        <v>0</v>
      </c>
      <c r="L74" s="35"/>
      <c r="M74" s="36">
        <f>Table4[[#This Row],[Attendance]]*Table4[[#This Row],[TICKET PRICE]]</f>
        <v>0</v>
      </c>
      <c r="N74" s="39"/>
      <c r="O74" s="39"/>
    </row>
    <row r="75" spans="1:15" hidden="1" x14ac:dyDescent="0.25">
      <c r="A75" s="4">
        <v>9</v>
      </c>
      <c r="B75" s="18">
        <v>46326</v>
      </c>
      <c r="C75" s="17">
        <v>0.625</v>
      </c>
      <c r="D75" s="17"/>
      <c r="E75" s="17"/>
      <c r="F75" s="1" t="s">
        <v>283</v>
      </c>
      <c r="G75" s="1" t="s">
        <v>236</v>
      </c>
      <c r="H75" s="4" t="s">
        <v>650</v>
      </c>
      <c r="I75" s="5">
        <v>55000</v>
      </c>
      <c r="J75" s="5"/>
      <c r="K75" s="34" t="b">
        <v>0</v>
      </c>
      <c r="L75" s="35"/>
      <c r="M75" s="36">
        <f>Table4[[#This Row],[Attendance]]*Table4[[#This Row],[TICKET PRICE]]</f>
        <v>0</v>
      </c>
      <c r="N75" s="39"/>
      <c r="O75" s="39"/>
    </row>
    <row r="76" spans="1:15" hidden="1" x14ac:dyDescent="0.25">
      <c r="A76" s="4">
        <v>9</v>
      </c>
      <c r="B76" s="18">
        <v>46326</v>
      </c>
      <c r="C76" s="17">
        <v>0.625</v>
      </c>
      <c r="D76" s="17"/>
      <c r="E76" s="17"/>
      <c r="F76" s="1" t="s">
        <v>91</v>
      </c>
      <c r="G76" s="1" t="s">
        <v>41</v>
      </c>
      <c r="H76" s="4" t="s">
        <v>658</v>
      </c>
      <c r="I76" s="5">
        <v>87000</v>
      </c>
      <c r="J76" s="5"/>
      <c r="K76" s="34" t="b">
        <v>0</v>
      </c>
      <c r="L76" s="35"/>
      <c r="M76" s="36">
        <f>Table4[[#This Row],[Attendance]]*Table4[[#This Row],[TICKET PRICE]]</f>
        <v>0</v>
      </c>
      <c r="N76" s="39"/>
      <c r="O76" s="39"/>
    </row>
    <row r="77" spans="1:15" hidden="1" x14ac:dyDescent="0.25">
      <c r="A77" s="4">
        <v>9</v>
      </c>
      <c r="B77" s="18">
        <v>46326</v>
      </c>
      <c r="C77" s="17">
        <v>0.625</v>
      </c>
      <c r="D77" s="17"/>
      <c r="E77" s="17"/>
      <c r="F77" s="1" t="s">
        <v>556</v>
      </c>
      <c r="G77" s="1" t="s">
        <v>186</v>
      </c>
      <c r="H77" s="4" t="s">
        <v>642</v>
      </c>
      <c r="I77" s="5">
        <v>29700</v>
      </c>
      <c r="J77" s="5"/>
      <c r="K77" s="34" t="b">
        <v>0</v>
      </c>
      <c r="L77" s="35"/>
      <c r="M77" s="36">
        <f>Table4[[#This Row],[Attendance]]*Table4[[#This Row],[TICKET PRICE]]</f>
        <v>0</v>
      </c>
      <c r="N77" s="39"/>
      <c r="O77" s="39"/>
    </row>
    <row r="78" spans="1:15" hidden="1" x14ac:dyDescent="0.25">
      <c r="A78" s="4">
        <v>9</v>
      </c>
      <c r="B78" s="18">
        <v>46326</v>
      </c>
      <c r="C78" s="17">
        <v>0.625</v>
      </c>
      <c r="D78" s="17"/>
      <c r="E78" s="17"/>
      <c r="F78" s="1" t="s">
        <v>371</v>
      </c>
      <c r="G78" s="1" t="s">
        <v>66</v>
      </c>
      <c r="H78" s="4" t="s">
        <v>654</v>
      </c>
      <c r="I78" s="5">
        <v>36000</v>
      </c>
      <c r="J78" s="5"/>
      <c r="K78" s="34" t="b">
        <v>0</v>
      </c>
      <c r="L78" s="35"/>
      <c r="M78" s="36">
        <f>Table4[[#This Row],[Attendance]]*Table4[[#This Row],[TICKET PRICE]]</f>
        <v>0</v>
      </c>
      <c r="N78" s="39"/>
      <c r="O78" s="39"/>
    </row>
    <row r="79" spans="1:15" hidden="1" x14ac:dyDescent="0.25">
      <c r="A79" s="4">
        <v>9</v>
      </c>
      <c r="B79" s="18">
        <v>46326</v>
      </c>
      <c r="C79" s="17">
        <v>0.72916666666666663</v>
      </c>
      <c r="D79" s="17"/>
      <c r="E79" s="17"/>
      <c r="F79" s="1" t="s">
        <v>163</v>
      </c>
      <c r="G79" s="1" t="s">
        <v>114</v>
      </c>
      <c r="H79" s="4" t="s">
        <v>656</v>
      </c>
      <c r="I79" s="5">
        <v>100000</v>
      </c>
      <c r="J79" s="5"/>
      <c r="K79" s="34" t="b">
        <v>0</v>
      </c>
      <c r="L79" s="35"/>
      <c r="M79" s="36">
        <f>Table4[[#This Row],[Attendance]]*Table4[[#This Row],[TICKET PRICE]]</f>
        <v>0</v>
      </c>
      <c r="N79" s="39"/>
      <c r="O79" s="39"/>
    </row>
    <row r="80" spans="1:15" hidden="1" x14ac:dyDescent="0.25">
      <c r="A80" s="4">
        <v>9</v>
      </c>
      <c r="B80" s="18">
        <v>46327</v>
      </c>
      <c r="C80" s="17">
        <v>0.58333333333333337</v>
      </c>
      <c r="D80" s="17"/>
      <c r="E80" s="17"/>
      <c r="F80" s="1" t="s">
        <v>305</v>
      </c>
      <c r="G80" s="1" t="s">
        <v>139</v>
      </c>
      <c r="H80" s="4" t="s">
        <v>646</v>
      </c>
      <c r="I80" s="5">
        <v>45000</v>
      </c>
      <c r="J80" s="5"/>
      <c r="K80" s="34" t="b">
        <v>0</v>
      </c>
      <c r="L80" s="35"/>
      <c r="M80" s="36">
        <f>Table4[[#This Row],[Attendance]]*Table4[[#This Row],[TICKET PRICE]]</f>
        <v>0</v>
      </c>
      <c r="N80" s="39"/>
      <c r="O80" s="39"/>
    </row>
    <row r="81" spans="1:15" hidden="1" x14ac:dyDescent="0.25">
      <c r="A81" s="4">
        <v>9</v>
      </c>
      <c r="B81" s="18">
        <v>46327</v>
      </c>
      <c r="C81" s="17">
        <v>0.58333333333333337</v>
      </c>
      <c r="D81" s="17"/>
      <c r="E81" s="17"/>
      <c r="F81" s="1" t="s">
        <v>327</v>
      </c>
      <c r="G81" s="1" t="s">
        <v>350</v>
      </c>
      <c r="H81" s="4" t="s">
        <v>651</v>
      </c>
      <c r="I81" s="5">
        <v>40000</v>
      </c>
      <c r="J81" s="5"/>
      <c r="K81" s="34" t="b">
        <v>0</v>
      </c>
      <c r="L81" s="35"/>
      <c r="M81" s="36">
        <f>Table4[[#This Row],[Attendance]]*Table4[[#This Row],[TICKET PRICE]]</f>
        <v>0</v>
      </c>
      <c r="N81" s="39"/>
      <c r="O81" s="39"/>
    </row>
    <row r="82" spans="1:15" hidden="1" x14ac:dyDescent="0.25">
      <c r="A82" s="4">
        <v>9</v>
      </c>
      <c r="B82" s="18">
        <v>46327</v>
      </c>
      <c r="C82" s="17">
        <v>0.6875</v>
      </c>
      <c r="D82" s="17"/>
      <c r="E82" s="17"/>
      <c r="F82" s="1" t="s">
        <v>260</v>
      </c>
      <c r="G82" s="1" t="s">
        <v>557</v>
      </c>
      <c r="H82" s="4" t="s">
        <v>655</v>
      </c>
      <c r="I82" s="5">
        <v>40000</v>
      </c>
      <c r="J82" s="5"/>
      <c r="K82" s="34" t="b">
        <v>0</v>
      </c>
      <c r="L82" s="35"/>
      <c r="M82" s="36">
        <f>Table4[[#This Row],[Attendance]]*Table4[[#This Row],[TICKET PRICE]]</f>
        <v>0</v>
      </c>
      <c r="N82" s="39"/>
      <c r="O82" s="39"/>
    </row>
    <row r="83" spans="1:15" hidden="1" x14ac:dyDescent="0.25">
      <c r="A83" s="4">
        <v>10</v>
      </c>
      <c r="B83" s="18">
        <v>46333</v>
      </c>
      <c r="C83" s="17">
        <v>0.52083333333333337</v>
      </c>
      <c r="D83" s="17"/>
      <c r="E83" s="17"/>
      <c r="F83" s="1" t="s">
        <v>236</v>
      </c>
      <c r="G83" s="1" t="s">
        <v>327</v>
      </c>
      <c r="H83" s="4" t="s">
        <v>652</v>
      </c>
      <c r="I83" s="5">
        <v>35000</v>
      </c>
      <c r="J83" s="5"/>
      <c r="K83" s="34" t="b">
        <v>0</v>
      </c>
      <c r="L83" s="35"/>
      <c r="M83" s="36">
        <f>Table4[[#This Row],[Attendance]]*Table4[[#This Row],[TICKET PRICE]]</f>
        <v>0</v>
      </c>
      <c r="N83" s="39"/>
      <c r="O83" s="39"/>
    </row>
    <row r="84" spans="1:15" hidden="1" x14ac:dyDescent="0.25">
      <c r="A84" s="4">
        <v>10</v>
      </c>
      <c r="B84" s="18">
        <v>46333</v>
      </c>
      <c r="C84" s="17">
        <v>0.625</v>
      </c>
      <c r="D84" s="17"/>
      <c r="E84" s="17"/>
      <c r="F84" s="1" t="s">
        <v>210</v>
      </c>
      <c r="G84" s="1" t="s">
        <v>260</v>
      </c>
      <c r="H84" s="4" t="s">
        <v>657</v>
      </c>
      <c r="I84" s="5">
        <v>70000</v>
      </c>
      <c r="J84" s="5"/>
      <c r="K84" s="34" t="b">
        <v>0</v>
      </c>
      <c r="L84" s="35"/>
      <c r="M84" s="36">
        <f>Table4[[#This Row],[Attendance]]*Table4[[#This Row],[TICKET PRICE]]</f>
        <v>0</v>
      </c>
      <c r="N84" s="39"/>
      <c r="O84" s="39"/>
    </row>
    <row r="85" spans="1:15" hidden="1" x14ac:dyDescent="0.25">
      <c r="A85" s="4">
        <v>10</v>
      </c>
      <c r="B85" s="18">
        <v>46333</v>
      </c>
      <c r="C85" s="17">
        <v>0.625</v>
      </c>
      <c r="D85" s="17"/>
      <c r="E85" s="17"/>
      <c r="F85" s="1" t="s">
        <v>186</v>
      </c>
      <c r="G85" s="1" t="s">
        <v>283</v>
      </c>
      <c r="H85" s="4" t="s">
        <v>647</v>
      </c>
      <c r="I85" s="5">
        <v>80000</v>
      </c>
      <c r="J85" s="5"/>
      <c r="K85" s="34" t="b">
        <v>0</v>
      </c>
      <c r="L85" s="35"/>
      <c r="M85" s="36">
        <f>Table4[[#This Row],[Attendance]]*Table4[[#This Row],[TICKET PRICE]]</f>
        <v>0</v>
      </c>
      <c r="N85" s="39"/>
      <c r="O85" s="39"/>
    </row>
    <row r="86" spans="1:15" hidden="1" x14ac:dyDescent="0.25">
      <c r="A86" s="4">
        <v>10</v>
      </c>
      <c r="B86" s="18">
        <v>46333</v>
      </c>
      <c r="C86" s="17">
        <v>0.625</v>
      </c>
      <c r="D86" s="17"/>
      <c r="E86" s="17"/>
      <c r="F86" s="1" t="s">
        <v>114</v>
      </c>
      <c r="G86" s="1" t="s">
        <v>91</v>
      </c>
      <c r="H86" s="4" t="s">
        <v>645</v>
      </c>
      <c r="I86" s="5">
        <v>45000</v>
      </c>
      <c r="J86" s="5"/>
      <c r="K86" s="34" t="b">
        <v>0</v>
      </c>
      <c r="L86" s="35"/>
      <c r="M86" s="36">
        <f>Table4[[#This Row],[Attendance]]*Table4[[#This Row],[TICKET PRICE]]</f>
        <v>0</v>
      </c>
      <c r="N86" s="39"/>
      <c r="O86" s="39"/>
    </row>
    <row r="87" spans="1:15" hidden="1" x14ac:dyDescent="0.25">
      <c r="A87" s="4">
        <v>10</v>
      </c>
      <c r="B87" s="18">
        <v>46333</v>
      </c>
      <c r="C87" s="17">
        <v>0.625</v>
      </c>
      <c r="D87" s="17"/>
      <c r="E87" s="17"/>
      <c r="F87" s="1" t="s">
        <v>350</v>
      </c>
      <c r="G87" s="1" t="s">
        <v>305</v>
      </c>
      <c r="H87" s="4" t="s">
        <v>648</v>
      </c>
      <c r="I87" s="5">
        <v>23000</v>
      </c>
      <c r="J87" s="5"/>
      <c r="K87" s="34" t="b">
        <v>0</v>
      </c>
      <c r="L87" s="35"/>
      <c r="M87" s="36">
        <f>Table4[[#This Row],[Attendance]]*Table4[[#This Row],[TICKET PRICE]]</f>
        <v>0</v>
      </c>
      <c r="N87" s="39"/>
      <c r="O87" s="39"/>
    </row>
    <row r="88" spans="1:15" hidden="1" x14ac:dyDescent="0.25">
      <c r="A88" s="4">
        <v>10</v>
      </c>
      <c r="B88" s="18">
        <v>46333</v>
      </c>
      <c r="C88" s="17">
        <v>0.72916666666666663</v>
      </c>
      <c r="D88" s="17"/>
      <c r="E88" s="17"/>
      <c r="F88" s="1" t="s">
        <v>41</v>
      </c>
      <c r="G88" s="1" t="s">
        <v>556</v>
      </c>
      <c r="H88" s="4" t="s">
        <v>660</v>
      </c>
      <c r="I88" s="5">
        <v>70000</v>
      </c>
      <c r="J88" s="5"/>
      <c r="K88" s="34" t="b">
        <v>0</v>
      </c>
      <c r="L88" s="35"/>
      <c r="M88" s="36">
        <f>Table4[[#This Row],[Attendance]]*Table4[[#This Row],[TICKET PRICE]]</f>
        <v>0</v>
      </c>
      <c r="N88" s="39"/>
      <c r="O88" s="39"/>
    </row>
    <row r="89" spans="1:15" hidden="1" x14ac:dyDescent="0.25">
      <c r="A89" s="4">
        <v>10</v>
      </c>
      <c r="B89" s="18">
        <v>46334</v>
      </c>
      <c r="C89" s="17">
        <v>0.58333333333333337</v>
      </c>
      <c r="D89" s="17"/>
      <c r="E89" s="17"/>
      <c r="F89" s="1" t="s">
        <v>139</v>
      </c>
      <c r="G89" s="1" t="s">
        <v>566</v>
      </c>
      <c r="H89" s="4" t="s">
        <v>653</v>
      </c>
      <c r="I89" s="5">
        <v>65000</v>
      </c>
      <c r="J89" s="5"/>
      <c r="K89" s="34" t="b">
        <v>0</v>
      </c>
      <c r="L89" s="35"/>
      <c r="M89" s="36">
        <f>Table4[[#This Row],[Attendance]]*Table4[[#This Row],[TICKET PRICE]]</f>
        <v>0</v>
      </c>
      <c r="N89" s="39"/>
      <c r="O89" s="39"/>
    </row>
    <row r="90" spans="1:15" hidden="1" x14ac:dyDescent="0.25">
      <c r="A90" s="4">
        <v>10</v>
      </c>
      <c r="B90" s="18">
        <v>46334</v>
      </c>
      <c r="C90" s="17">
        <v>0.58333333333333337</v>
      </c>
      <c r="D90" s="17"/>
      <c r="E90" s="17"/>
      <c r="F90" s="1" t="s">
        <v>66</v>
      </c>
      <c r="G90" s="1" t="s">
        <v>163</v>
      </c>
      <c r="H90" s="4" t="s">
        <v>659</v>
      </c>
      <c r="I90" s="5">
        <v>87000</v>
      </c>
      <c r="J90" s="5"/>
      <c r="K90" s="34" t="b">
        <v>0</v>
      </c>
      <c r="L90" s="35"/>
      <c r="M90" s="36">
        <f>Table4[[#This Row],[Attendance]]*Table4[[#This Row],[TICKET PRICE]]</f>
        <v>0</v>
      </c>
      <c r="N90" s="39"/>
      <c r="O90" s="39"/>
    </row>
    <row r="91" spans="1:15" hidden="1" x14ac:dyDescent="0.25">
      <c r="A91" s="4">
        <v>10</v>
      </c>
      <c r="B91" s="18">
        <v>46334</v>
      </c>
      <c r="C91" s="17">
        <v>0.6875</v>
      </c>
      <c r="D91" s="17"/>
      <c r="E91" s="17"/>
      <c r="F91" s="1" t="s">
        <v>557</v>
      </c>
      <c r="G91" s="1" t="s">
        <v>371</v>
      </c>
      <c r="H91" s="4" t="s">
        <v>644</v>
      </c>
      <c r="I91" s="5">
        <v>17000</v>
      </c>
      <c r="J91" s="5"/>
      <c r="K91" s="34" t="b">
        <v>0</v>
      </c>
      <c r="L91" s="35"/>
      <c r="M91" s="36">
        <f>Table4[[#This Row],[Attendance]]*Table4[[#This Row],[TICKET PRICE]]</f>
        <v>0</v>
      </c>
      <c r="N91" s="39"/>
      <c r="O91" s="39"/>
    </row>
    <row r="92" spans="1:15" hidden="1" x14ac:dyDescent="0.25">
      <c r="A92" s="4">
        <v>11</v>
      </c>
      <c r="B92" s="18">
        <v>46347</v>
      </c>
      <c r="C92" s="17">
        <v>0.52083333333333337</v>
      </c>
      <c r="D92" s="17"/>
      <c r="E92" s="17"/>
      <c r="F92" s="1" t="s">
        <v>350</v>
      </c>
      <c r="G92" s="1" t="s">
        <v>566</v>
      </c>
      <c r="H92" s="4" t="s">
        <v>648</v>
      </c>
      <c r="I92" s="5">
        <v>23000</v>
      </c>
      <c r="J92" s="5"/>
      <c r="K92" s="34" t="b">
        <v>0</v>
      </c>
      <c r="L92" s="35"/>
      <c r="M92" s="36">
        <f>Table4[[#This Row],[Attendance]]*Table4[[#This Row],[TICKET PRICE]]</f>
        <v>0</v>
      </c>
      <c r="N92" s="39"/>
      <c r="O92" s="39"/>
    </row>
    <row r="93" spans="1:15" hidden="1" x14ac:dyDescent="0.25">
      <c r="A93" s="4">
        <v>11</v>
      </c>
      <c r="B93" s="18">
        <v>46347</v>
      </c>
      <c r="C93" s="17">
        <v>0.625</v>
      </c>
      <c r="D93" s="17"/>
      <c r="E93" s="17"/>
      <c r="F93" s="1" t="s">
        <v>371</v>
      </c>
      <c r="G93" s="1" t="s">
        <v>210</v>
      </c>
      <c r="H93" s="4" t="s">
        <v>654</v>
      </c>
      <c r="I93" s="5">
        <v>36000</v>
      </c>
      <c r="J93" s="5"/>
      <c r="K93" s="34" t="b">
        <v>0</v>
      </c>
      <c r="L93" s="35"/>
      <c r="M93" s="36">
        <f>Table4[[#This Row],[Attendance]]*Table4[[#This Row],[TICKET PRICE]]</f>
        <v>0</v>
      </c>
      <c r="N93" s="39"/>
      <c r="O93" s="39"/>
    </row>
    <row r="94" spans="1:15" hidden="1" x14ac:dyDescent="0.25">
      <c r="A94" s="4">
        <v>11</v>
      </c>
      <c r="B94" s="18">
        <v>46347</v>
      </c>
      <c r="C94" s="17">
        <v>0.625</v>
      </c>
      <c r="D94" s="17"/>
      <c r="E94" s="17"/>
      <c r="F94" s="1" t="s">
        <v>283</v>
      </c>
      <c r="G94" s="1" t="s">
        <v>556</v>
      </c>
      <c r="H94" s="4" t="s">
        <v>650</v>
      </c>
      <c r="I94" s="5">
        <v>55000</v>
      </c>
      <c r="J94" s="5"/>
      <c r="K94" s="34" t="b">
        <v>0</v>
      </c>
      <c r="L94" s="35"/>
      <c r="M94" s="36">
        <f>Table4[[#This Row],[Attendance]]*Table4[[#This Row],[TICKET PRICE]]</f>
        <v>0</v>
      </c>
      <c r="N94" s="39"/>
      <c r="O94" s="39"/>
    </row>
    <row r="95" spans="1:15" hidden="1" x14ac:dyDescent="0.25">
      <c r="A95" s="4">
        <v>11</v>
      </c>
      <c r="B95" s="18">
        <v>46347</v>
      </c>
      <c r="C95" s="17">
        <v>0.625</v>
      </c>
      <c r="D95" s="17"/>
      <c r="E95" s="17"/>
      <c r="F95" s="1" t="s">
        <v>327</v>
      </c>
      <c r="G95" s="1" t="s">
        <v>186</v>
      </c>
      <c r="H95" s="4" t="s">
        <v>651</v>
      </c>
      <c r="I95" s="5">
        <v>40000</v>
      </c>
      <c r="J95" s="5"/>
      <c r="K95" s="34" t="b">
        <v>0</v>
      </c>
      <c r="L95" s="35"/>
      <c r="M95" s="36">
        <f>Table4[[#This Row],[Attendance]]*Table4[[#This Row],[TICKET PRICE]]</f>
        <v>0</v>
      </c>
      <c r="N95" s="39"/>
      <c r="O95" s="39"/>
    </row>
    <row r="96" spans="1:15" hidden="1" x14ac:dyDescent="0.25">
      <c r="A96" s="4">
        <v>11</v>
      </c>
      <c r="B96" s="18">
        <v>46347</v>
      </c>
      <c r="C96" s="17">
        <v>0.625</v>
      </c>
      <c r="D96" s="17"/>
      <c r="E96" s="17"/>
      <c r="F96" s="1" t="s">
        <v>91</v>
      </c>
      <c r="G96" s="1" t="s">
        <v>66</v>
      </c>
      <c r="H96" s="4" t="s">
        <v>658</v>
      </c>
      <c r="I96" s="5">
        <v>87000</v>
      </c>
      <c r="J96" s="5"/>
      <c r="K96" s="34" t="b">
        <v>0</v>
      </c>
      <c r="L96" s="35"/>
      <c r="M96" s="36">
        <f>Table4[[#This Row],[Attendance]]*Table4[[#This Row],[TICKET PRICE]]</f>
        <v>0</v>
      </c>
      <c r="N96" s="39"/>
      <c r="O96" s="39"/>
    </row>
    <row r="97" spans="1:15" hidden="1" x14ac:dyDescent="0.25">
      <c r="A97" s="4">
        <v>11</v>
      </c>
      <c r="B97" s="18">
        <v>46347</v>
      </c>
      <c r="C97" s="17">
        <v>0.72916666666666663</v>
      </c>
      <c r="D97" s="17"/>
      <c r="E97" s="17"/>
      <c r="F97" s="1" t="s">
        <v>114</v>
      </c>
      <c r="G97" s="1" t="s">
        <v>41</v>
      </c>
      <c r="H97" s="4" t="s">
        <v>645</v>
      </c>
      <c r="I97" s="5">
        <v>45000</v>
      </c>
      <c r="J97" s="5"/>
      <c r="K97" s="34" t="b">
        <v>0</v>
      </c>
      <c r="L97" s="35"/>
      <c r="M97" s="36">
        <f>Table4[[#This Row],[Attendance]]*Table4[[#This Row],[TICKET PRICE]]</f>
        <v>0</v>
      </c>
      <c r="N97" s="39"/>
      <c r="O97" s="39"/>
    </row>
    <row r="98" spans="1:15" hidden="1" x14ac:dyDescent="0.25">
      <c r="A98" s="4">
        <v>11</v>
      </c>
      <c r="B98" s="18">
        <v>46348</v>
      </c>
      <c r="C98" s="17">
        <v>0.58333333333333337</v>
      </c>
      <c r="D98" s="17"/>
      <c r="E98" s="17"/>
      <c r="F98" s="1" t="s">
        <v>163</v>
      </c>
      <c r="G98" s="1" t="s">
        <v>557</v>
      </c>
      <c r="H98" s="4" t="s">
        <v>656</v>
      </c>
      <c r="I98" s="5">
        <v>100000</v>
      </c>
      <c r="J98" s="5"/>
      <c r="K98" s="34" t="b">
        <v>0</v>
      </c>
      <c r="L98" s="35"/>
      <c r="M98" s="36">
        <f>Table4[[#This Row],[Attendance]]*Table4[[#This Row],[TICKET PRICE]]</f>
        <v>0</v>
      </c>
      <c r="N98" s="39"/>
      <c r="O98" s="39"/>
    </row>
    <row r="99" spans="1:15" hidden="1" x14ac:dyDescent="0.25">
      <c r="A99" s="4">
        <v>11</v>
      </c>
      <c r="B99" s="18">
        <v>46348</v>
      </c>
      <c r="C99" s="17">
        <v>0.58333333333333337</v>
      </c>
      <c r="D99" s="17"/>
      <c r="E99" s="17"/>
      <c r="F99" s="1" t="s">
        <v>305</v>
      </c>
      <c r="G99" s="1" t="s">
        <v>236</v>
      </c>
      <c r="H99" s="4" t="s">
        <v>646</v>
      </c>
      <c r="I99" s="5">
        <v>45000</v>
      </c>
      <c r="J99" s="5"/>
      <c r="K99" s="34" t="b">
        <v>0</v>
      </c>
      <c r="L99" s="35"/>
      <c r="M99" s="36">
        <f>Table4[[#This Row],[Attendance]]*Table4[[#This Row],[TICKET PRICE]]</f>
        <v>0</v>
      </c>
      <c r="N99" s="39"/>
      <c r="O99" s="39"/>
    </row>
    <row r="100" spans="1:15" hidden="1" x14ac:dyDescent="0.25">
      <c r="A100" s="4">
        <v>11</v>
      </c>
      <c r="B100" s="18">
        <v>46348</v>
      </c>
      <c r="C100" s="17">
        <v>0.6875</v>
      </c>
      <c r="D100" s="17"/>
      <c r="E100" s="17"/>
      <c r="F100" s="1" t="s">
        <v>139</v>
      </c>
      <c r="G100" s="1" t="s">
        <v>260</v>
      </c>
      <c r="H100" s="4" t="s">
        <v>653</v>
      </c>
      <c r="I100" s="5">
        <v>65000</v>
      </c>
      <c r="J100" s="5"/>
      <c r="K100" s="34" t="b">
        <v>0</v>
      </c>
      <c r="L100" s="35"/>
      <c r="M100" s="36">
        <f>Table4[[#This Row],[Attendance]]*Table4[[#This Row],[TICKET PRICE]]</f>
        <v>0</v>
      </c>
      <c r="N100" s="39"/>
      <c r="O100" s="39"/>
    </row>
    <row r="101" spans="1:15" hidden="1" x14ac:dyDescent="0.25">
      <c r="A101" s="4">
        <v>12</v>
      </c>
      <c r="B101" s="18">
        <v>46354</v>
      </c>
      <c r="C101" s="17">
        <v>0.52083333333333337</v>
      </c>
      <c r="D101" s="17"/>
      <c r="E101" s="17"/>
      <c r="F101" s="1" t="s">
        <v>41</v>
      </c>
      <c r="G101" s="1" t="s">
        <v>283</v>
      </c>
      <c r="H101" s="4" t="s">
        <v>660</v>
      </c>
      <c r="I101" s="5">
        <v>70000</v>
      </c>
      <c r="J101" s="5"/>
      <c r="K101" s="34" t="b">
        <v>0</v>
      </c>
      <c r="L101" s="35"/>
      <c r="M101" s="36">
        <f>Table4[[#This Row],[Attendance]]*Table4[[#This Row],[TICKET PRICE]]</f>
        <v>0</v>
      </c>
      <c r="N101" s="39"/>
      <c r="O101" s="39"/>
    </row>
    <row r="102" spans="1:15" hidden="1" x14ac:dyDescent="0.25">
      <c r="A102" s="4">
        <v>12</v>
      </c>
      <c r="B102" s="18">
        <v>46354</v>
      </c>
      <c r="C102" s="17">
        <v>0.625</v>
      </c>
      <c r="D102" s="17"/>
      <c r="E102" s="17"/>
      <c r="F102" s="1" t="s">
        <v>66</v>
      </c>
      <c r="G102" s="1" t="s">
        <v>114</v>
      </c>
      <c r="H102" s="4" t="s">
        <v>659</v>
      </c>
      <c r="I102" s="5">
        <v>87000</v>
      </c>
      <c r="J102" s="5"/>
      <c r="K102" s="34" t="b">
        <v>0</v>
      </c>
      <c r="L102" s="35"/>
      <c r="M102" s="36">
        <f>Table4[[#This Row],[Attendance]]*Table4[[#This Row],[TICKET PRICE]]</f>
        <v>0</v>
      </c>
      <c r="N102" s="39"/>
      <c r="O102" s="39"/>
    </row>
    <row r="103" spans="1:15" hidden="1" x14ac:dyDescent="0.25">
      <c r="A103" s="4">
        <v>12</v>
      </c>
      <c r="B103" s="18">
        <v>46354</v>
      </c>
      <c r="C103" s="17">
        <v>0.625</v>
      </c>
      <c r="D103" s="17"/>
      <c r="E103" s="17"/>
      <c r="F103" s="1" t="s">
        <v>556</v>
      </c>
      <c r="G103" s="1" t="s">
        <v>327</v>
      </c>
      <c r="H103" s="4" t="s">
        <v>642</v>
      </c>
      <c r="I103" s="5">
        <v>29700</v>
      </c>
      <c r="J103" s="5"/>
      <c r="K103" s="34" t="b">
        <v>0</v>
      </c>
      <c r="L103" s="35"/>
      <c r="M103" s="36">
        <f>Table4[[#This Row],[Attendance]]*Table4[[#This Row],[TICKET PRICE]]</f>
        <v>0</v>
      </c>
      <c r="N103" s="39"/>
      <c r="O103" s="39"/>
    </row>
    <row r="104" spans="1:15" hidden="1" x14ac:dyDescent="0.25">
      <c r="A104" s="4">
        <v>12</v>
      </c>
      <c r="B104" s="18">
        <v>46354</v>
      </c>
      <c r="C104" s="17">
        <v>0.625</v>
      </c>
      <c r="D104" s="17"/>
      <c r="E104" s="17"/>
      <c r="F104" s="1" t="s">
        <v>186</v>
      </c>
      <c r="G104" s="1" t="s">
        <v>305</v>
      </c>
      <c r="H104" s="4" t="s">
        <v>647</v>
      </c>
      <c r="I104" s="5">
        <v>80000</v>
      </c>
      <c r="J104" s="5"/>
      <c r="K104" s="34" t="b">
        <v>0</v>
      </c>
      <c r="L104" s="35"/>
      <c r="M104" s="36">
        <f>Table4[[#This Row],[Attendance]]*Table4[[#This Row],[TICKET PRICE]]</f>
        <v>0</v>
      </c>
      <c r="N104" s="39"/>
      <c r="O104" s="39"/>
    </row>
    <row r="105" spans="1:15" hidden="1" x14ac:dyDescent="0.25">
      <c r="A105" s="4">
        <v>12</v>
      </c>
      <c r="B105" s="18">
        <v>46354</v>
      </c>
      <c r="C105" s="17">
        <v>0.625</v>
      </c>
      <c r="D105" s="17"/>
      <c r="E105" s="17"/>
      <c r="F105" s="1" t="s">
        <v>371</v>
      </c>
      <c r="G105" s="1" t="s">
        <v>139</v>
      </c>
      <c r="H105" s="4" t="s">
        <v>654</v>
      </c>
      <c r="I105" s="5">
        <v>36000</v>
      </c>
      <c r="J105" s="5"/>
      <c r="K105" s="34" t="b">
        <v>0</v>
      </c>
      <c r="L105" s="35"/>
      <c r="M105" s="36">
        <f>Table4[[#This Row],[Attendance]]*Table4[[#This Row],[TICKET PRICE]]</f>
        <v>0</v>
      </c>
      <c r="N105" s="39"/>
      <c r="O105" s="39"/>
    </row>
    <row r="106" spans="1:15" hidden="1" x14ac:dyDescent="0.25">
      <c r="A106" s="4">
        <v>12</v>
      </c>
      <c r="B106" s="18">
        <v>46354</v>
      </c>
      <c r="C106" s="17">
        <v>0.72916666666666663</v>
      </c>
      <c r="D106" s="17"/>
      <c r="E106" s="17"/>
      <c r="F106" s="1" t="s">
        <v>557</v>
      </c>
      <c r="G106" s="1" t="s">
        <v>91</v>
      </c>
      <c r="H106" s="4" t="s">
        <v>644</v>
      </c>
      <c r="I106" s="5">
        <v>17000</v>
      </c>
      <c r="J106" s="5"/>
      <c r="K106" s="34" t="b">
        <v>0</v>
      </c>
      <c r="L106" s="35"/>
      <c r="M106" s="36">
        <f>Table4[[#This Row],[Attendance]]*Table4[[#This Row],[TICKET PRICE]]</f>
        <v>0</v>
      </c>
      <c r="N106" s="39"/>
      <c r="O106" s="39"/>
    </row>
    <row r="107" spans="1:15" hidden="1" x14ac:dyDescent="0.25">
      <c r="A107" s="4">
        <v>12</v>
      </c>
      <c r="B107" s="18">
        <v>46355</v>
      </c>
      <c r="C107" s="17">
        <v>0.58333333333333337</v>
      </c>
      <c r="D107" s="17"/>
      <c r="E107" s="17"/>
      <c r="F107" s="1" t="s">
        <v>260</v>
      </c>
      <c r="G107" s="1" t="s">
        <v>350</v>
      </c>
      <c r="H107" s="4" t="s">
        <v>655</v>
      </c>
      <c r="I107" s="5">
        <v>40000</v>
      </c>
      <c r="J107" s="5"/>
      <c r="K107" s="34" t="b">
        <v>0</v>
      </c>
      <c r="L107" s="35"/>
      <c r="M107" s="36">
        <f>Table4[[#This Row],[Attendance]]*Table4[[#This Row],[TICKET PRICE]]</f>
        <v>0</v>
      </c>
      <c r="N107" s="39"/>
      <c r="O107" s="39"/>
    </row>
    <row r="108" spans="1:15" hidden="1" x14ac:dyDescent="0.25">
      <c r="A108" s="4">
        <v>12</v>
      </c>
      <c r="B108" s="18">
        <v>46355</v>
      </c>
      <c r="C108" s="17">
        <v>0.58333333333333337</v>
      </c>
      <c r="D108" s="17"/>
      <c r="E108" s="17"/>
      <c r="F108" s="1" t="s">
        <v>163</v>
      </c>
      <c r="G108" s="1" t="s">
        <v>210</v>
      </c>
      <c r="H108" s="4" t="s">
        <v>656</v>
      </c>
      <c r="I108" s="5">
        <v>100000</v>
      </c>
      <c r="J108" s="5"/>
      <c r="K108" s="34" t="b">
        <v>0</v>
      </c>
      <c r="L108" s="35"/>
      <c r="M108" s="36">
        <f>Table4[[#This Row],[Attendance]]*Table4[[#This Row],[TICKET PRICE]]</f>
        <v>0</v>
      </c>
      <c r="N108" s="39"/>
      <c r="O108" s="39"/>
    </row>
    <row r="109" spans="1:15" hidden="1" x14ac:dyDescent="0.25">
      <c r="A109" s="4">
        <v>12</v>
      </c>
      <c r="B109" s="18">
        <v>46355</v>
      </c>
      <c r="C109" s="17">
        <v>0.6875</v>
      </c>
      <c r="D109" s="17"/>
      <c r="E109" s="17"/>
      <c r="F109" s="1" t="s">
        <v>566</v>
      </c>
      <c r="G109" s="1" t="s">
        <v>236</v>
      </c>
      <c r="H109" s="4" t="s">
        <v>643</v>
      </c>
      <c r="I109" s="5">
        <v>8000</v>
      </c>
      <c r="J109" s="5"/>
      <c r="K109" s="34" t="b">
        <v>0</v>
      </c>
      <c r="L109" s="35"/>
      <c r="M109" s="36">
        <f>Table4[[#This Row],[Attendance]]*Table4[[#This Row],[TICKET PRICE]]</f>
        <v>0</v>
      </c>
      <c r="N109" s="39"/>
      <c r="O109" s="39"/>
    </row>
    <row r="110" spans="1:15" hidden="1" x14ac:dyDescent="0.25">
      <c r="A110" s="4">
        <v>13</v>
      </c>
      <c r="B110" s="18">
        <v>46361</v>
      </c>
      <c r="C110" s="17">
        <v>0.52083333333333337</v>
      </c>
      <c r="D110" s="17"/>
      <c r="E110" s="17"/>
      <c r="F110" s="1" t="s">
        <v>305</v>
      </c>
      <c r="G110" s="1" t="s">
        <v>556</v>
      </c>
      <c r="H110" s="4" t="s">
        <v>646</v>
      </c>
      <c r="I110" s="5">
        <v>45000</v>
      </c>
      <c r="J110" s="5"/>
      <c r="K110" s="34" t="b">
        <v>0</v>
      </c>
      <c r="L110" s="35"/>
      <c r="M110" s="36">
        <f>Table4[[#This Row],[Attendance]]*Table4[[#This Row],[TICKET PRICE]]</f>
        <v>0</v>
      </c>
      <c r="N110" s="39"/>
      <c r="O110" s="39"/>
    </row>
    <row r="111" spans="1:15" hidden="1" x14ac:dyDescent="0.25">
      <c r="A111" s="4">
        <v>13</v>
      </c>
      <c r="B111" s="18">
        <v>46361</v>
      </c>
      <c r="C111" s="17">
        <v>0.625</v>
      </c>
      <c r="D111" s="17"/>
      <c r="E111" s="17"/>
      <c r="F111" s="1" t="s">
        <v>566</v>
      </c>
      <c r="G111" s="1" t="s">
        <v>186</v>
      </c>
      <c r="H111" s="4" t="s">
        <v>643</v>
      </c>
      <c r="I111" s="5">
        <v>8000</v>
      </c>
      <c r="J111" s="5"/>
      <c r="K111" s="34" t="b">
        <v>0</v>
      </c>
      <c r="L111" s="35"/>
      <c r="M111" s="36">
        <f>Table4[[#This Row],[Attendance]]*Table4[[#This Row],[TICKET PRICE]]</f>
        <v>0</v>
      </c>
      <c r="N111" s="39"/>
      <c r="O111" s="39"/>
    </row>
    <row r="112" spans="1:15" hidden="1" x14ac:dyDescent="0.25">
      <c r="A112" s="4">
        <v>13</v>
      </c>
      <c r="B112" s="18">
        <v>46361</v>
      </c>
      <c r="C112" s="17">
        <v>0.625</v>
      </c>
      <c r="D112" s="17"/>
      <c r="E112" s="17"/>
      <c r="F112" s="1" t="s">
        <v>210</v>
      </c>
      <c r="G112" s="1" t="s">
        <v>91</v>
      </c>
      <c r="H112" s="4" t="s">
        <v>657</v>
      </c>
      <c r="I112" s="5">
        <v>70000</v>
      </c>
      <c r="J112" s="5"/>
      <c r="K112" s="34" t="b">
        <v>0</v>
      </c>
      <c r="L112" s="35"/>
      <c r="M112" s="36">
        <f>Table4[[#This Row],[Attendance]]*Table4[[#This Row],[TICKET PRICE]]</f>
        <v>0</v>
      </c>
      <c r="N112" s="39"/>
      <c r="O112" s="39"/>
    </row>
    <row r="113" spans="1:15" hidden="1" x14ac:dyDescent="0.25">
      <c r="A113" s="4">
        <v>13</v>
      </c>
      <c r="B113" s="18">
        <v>46361</v>
      </c>
      <c r="C113" s="17">
        <v>0.625</v>
      </c>
      <c r="D113" s="17"/>
      <c r="E113" s="17"/>
      <c r="F113" s="1" t="s">
        <v>139</v>
      </c>
      <c r="G113" s="1" t="s">
        <v>163</v>
      </c>
      <c r="H113" s="4" t="s">
        <v>653</v>
      </c>
      <c r="I113" s="5">
        <v>65000</v>
      </c>
      <c r="J113" s="5"/>
      <c r="K113" s="34" t="b">
        <v>0</v>
      </c>
      <c r="L113" s="35"/>
      <c r="M113" s="36">
        <f>Table4[[#This Row],[Attendance]]*Table4[[#This Row],[TICKET PRICE]]</f>
        <v>0</v>
      </c>
      <c r="N113" s="39"/>
      <c r="O113" s="39"/>
    </row>
    <row r="114" spans="1:15" hidden="1" x14ac:dyDescent="0.25">
      <c r="A114" s="4">
        <v>13</v>
      </c>
      <c r="B114" s="18">
        <v>46361</v>
      </c>
      <c r="C114" s="17">
        <v>0.625</v>
      </c>
      <c r="D114" s="17"/>
      <c r="E114" s="17"/>
      <c r="F114" s="1" t="s">
        <v>236</v>
      </c>
      <c r="G114" s="1" t="s">
        <v>260</v>
      </c>
      <c r="H114" s="4" t="s">
        <v>652</v>
      </c>
      <c r="I114" s="5">
        <v>35000</v>
      </c>
      <c r="J114" s="5"/>
      <c r="K114" s="34" t="b">
        <v>0</v>
      </c>
      <c r="L114" s="35"/>
      <c r="M114" s="36">
        <f>Table4[[#This Row],[Attendance]]*Table4[[#This Row],[TICKET PRICE]]</f>
        <v>0</v>
      </c>
      <c r="N114" s="39"/>
      <c r="O114" s="39"/>
    </row>
    <row r="115" spans="1:15" hidden="1" x14ac:dyDescent="0.25">
      <c r="A115" s="4">
        <v>13</v>
      </c>
      <c r="B115" s="18">
        <v>46361</v>
      </c>
      <c r="C115" s="17">
        <v>0.72916666666666663</v>
      </c>
      <c r="D115" s="17"/>
      <c r="E115" s="17"/>
      <c r="F115" s="1" t="s">
        <v>327</v>
      </c>
      <c r="G115" s="1" t="s">
        <v>283</v>
      </c>
      <c r="H115" s="4" t="s">
        <v>651</v>
      </c>
      <c r="I115" s="5">
        <v>40000</v>
      </c>
      <c r="J115" s="5"/>
      <c r="K115" s="34" t="b">
        <v>0</v>
      </c>
      <c r="L115" s="35"/>
      <c r="M115" s="36">
        <f>Table4[[#This Row],[Attendance]]*Table4[[#This Row],[TICKET PRICE]]</f>
        <v>0</v>
      </c>
      <c r="N115" s="39"/>
      <c r="O115" s="39"/>
    </row>
    <row r="116" spans="1:15" hidden="1" x14ac:dyDescent="0.25">
      <c r="A116" s="4">
        <v>13</v>
      </c>
      <c r="B116" s="18">
        <v>46362</v>
      </c>
      <c r="C116" s="17">
        <v>0.58333333333333337</v>
      </c>
      <c r="D116" s="17"/>
      <c r="E116" s="17"/>
      <c r="F116" s="1" t="s">
        <v>114</v>
      </c>
      <c r="G116" s="1" t="s">
        <v>557</v>
      </c>
      <c r="H116" s="4" t="s">
        <v>645</v>
      </c>
      <c r="I116" s="5">
        <v>45000</v>
      </c>
      <c r="J116" s="5"/>
      <c r="K116" s="34" t="b">
        <v>0</v>
      </c>
      <c r="L116" s="35"/>
      <c r="M116" s="36">
        <f>Table4[[#This Row],[Attendance]]*Table4[[#This Row],[TICKET PRICE]]</f>
        <v>0</v>
      </c>
      <c r="N116" s="39"/>
      <c r="O116" s="39"/>
    </row>
    <row r="117" spans="1:15" hidden="1" x14ac:dyDescent="0.25">
      <c r="A117" s="4">
        <v>13</v>
      </c>
      <c r="B117" s="18">
        <v>46362</v>
      </c>
      <c r="C117" s="17">
        <v>0.58333333333333337</v>
      </c>
      <c r="D117" s="17"/>
      <c r="E117" s="17"/>
      <c r="F117" s="1" t="s">
        <v>350</v>
      </c>
      <c r="G117" s="1" t="s">
        <v>371</v>
      </c>
      <c r="H117" s="4" t="s">
        <v>648</v>
      </c>
      <c r="I117" s="5">
        <v>23000</v>
      </c>
      <c r="J117" s="5"/>
      <c r="K117" s="34" t="b">
        <v>0</v>
      </c>
      <c r="L117" s="35"/>
      <c r="M117" s="36">
        <f>Table4[[#This Row],[Attendance]]*Table4[[#This Row],[TICKET PRICE]]</f>
        <v>0</v>
      </c>
      <c r="N117" s="39"/>
      <c r="O117" s="39"/>
    </row>
    <row r="118" spans="1:15" hidden="1" x14ac:dyDescent="0.25">
      <c r="A118" s="4">
        <v>13</v>
      </c>
      <c r="B118" s="18">
        <v>46362</v>
      </c>
      <c r="C118" s="17">
        <v>0.6875</v>
      </c>
      <c r="D118" s="17"/>
      <c r="E118" s="17"/>
      <c r="F118" s="1" t="s">
        <v>41</v>
      </c>
      <c r="G118" s="1" t="s">
        <v>66</v>
      </c>
      <c r="H118" s="4" t="s">
        <v>660</v>
      </c>
      <c r="I118" s="5">
        <v>70000</v>
      </c>
      <c r="J118" s="5"/>
      <c r="K118" s="34" t="b">
        <v>0</v>
      </c>
      <c r="L118" s="35"/>
      <c r="M118" s="36">
        <f>Table4[[#This Row],[Attendance]]*Table4[[#This Row],[TICKET PRICE]]</f>
        <v>0</v>
      </c>
      <c r="N118" s="39"/>
      <c r="O118" s="39"/>
    </row>
    <row r="119" spans="1:15" hidden="1" x14ac:dyDescent="0.25">
      <c r="A119" s="4">
        <v>14</v>
      </c>
      <c r="B119" s="18">
        <v>46368</v>
      </c>
      <c r="C119" s="17">
        <v>0.52083333333333337</v>
      </c>
      <c r="D119" s="17"/>
      <c r="E119" s="17"/>
      <c r="F119" s="1" t="s">
        <v>163</v>
      </c>
      <c r="G119" s="1" t="s">
        <v>350</v>
      </c>
      <c r="H119" s="4" t="s">
        <v>656</v>
      </c>
      <c r="I119" s="5">
        <v>100000</v>
      </c>
      <c r="J119" s="5"/>
      <c r="K119" s="34" t="b">
        <v>0</v>
      </c>
      <c r="L119" s="35"/>
      <c r="M119" s="36">
        <f>Table4[[#This Row],[Attendance]]*Table4[[#This Row],[TICKET PRICE]]</f>
        <v>0</v>
      </c>
      <c r="N119" s="39"/>
      <c r="O119" s="39"/>
    </row>
    <row r="120" spans="1:15" hidden="1" x14ac:dyDescent="0.25">
      <c r="A120" s="4">
        <v>14</v>
      </c>
      <c r="B120" s="18">
        <v>46368</v>
      </c>
      <c r="C120" s="17">
        <v>0.625</v>
      </c>
      <c r="D120" s="17"/>
      <c r="E120" s="17"/>
      <c r="F120" s="1" t="s">
        <v>556</v>
      </c>
      <c r="G120" s="1" t="s">
        <v>566</v>
      </c>
      <c r="H120" s="4" t="s">
        <v>642</v>
      </c>
      <c r="I120" s="5">
        <v>29700</v>
      </c>
      <c r="J120" s="5"/>
      <c r="K120" s="34" t="b">
        <v>0</v>
      </c>
      <c r="L120" s="35"/>
      <c r="M120" s="36">
        <f>Table4[[#This Row],[Attendance]]*Table4[[#This Row],[TICKET PRICE]]</f>
        <v>0</v>
      </c>
      <c r="N120" s="39"/>
      <c r="O120" s="39"/>
    </row>
    <row r="121" spans="1:15" hidden="1" x14ac:dyDescent="0.25">
      <c r="A121" s="4">
        <v>14</v>
      </c>
      <c r="B121" s="18">
        <v>46368</v>
      </c>
      <c r="C121" s="17">
        <v>0.625</v>
      </c>
      <c r="D121" s="17"/>
      <c r="E121" s="17"/>
      <c r="F121" s="1" t="s">
        <v>283</v>
      </c>
      <c r="G121" s="1" t="s">
        <v>305</v>
      </c>
      <c r="H121" s="4" t="s">
        <v>650</v>
      </c>
      <c r="I121" s="5">
        <v>55000</v>
      </c>
      <c r="J121" s="5"/>
      <c r="K121" s="34" t="b">
        <v>0</v>
      </c>
      <c r="L121" s="35"/>
      <c r="M121" s="36">
        <f>Table4[[#This Row],[Attendance]]*Table4[[#This Row],[TICKET PRICE]]</f>
        <v>0</v>
      </c>
      <c r="N121" s="39"/>
      <c r="O121" s="39"/>
    </row>
    <row r="122" spans="1:15" hidden="1" x14ac:dyDescent="0.25">
      <c r="A122" s="4">
        <v>14</v>
      </c>
      <c r="B122" s="18">
        <v>46368</v>
      </c>
      <c r="C122" s="17">
        <v>0.625</v>
      </c>
      <c r="D122" s="17"/>
      <c r="E122" s="17"/>
      <c r="F122" s="1" t="s">
        <v>91</v>
      </c>
      <c r="G122" s="1" t="s">
        <v>139</v>
      </c>
      <c r="H122" s="4" t="s">
        <v>658</v>
      </c>
      <c r="I122" s="5">
        <v>87000</v>
      </c>
      <c r="J122" s="5"/>
      <c r="K122" s="34" t="b">
        <v>0</v>
      </c>
      <c r="L122" s="35"/>
      <c r="M122" s="36">
        <f>Table4[[#This Row],[Attendance]]*Table4[[#This Row],[TICKET PRICE]]</f>
        <v>0</v>
      </c>
      <c r="N122" s="39"/>
      <c r="O122" s="39"/>
    </row>
    <row r="123" spans="1:15" hidden="1" x14ac:dyDescent="0.25">
      <c r="A123" s="4">
        <v>14</v>
      </c>
      <c r="B123" s="18">
        <v>46368</v>
      </c>
      <c r="C123" s="17">
        <v>0.625</v>
      </c>
      <c r="D123" s="17"/>
      <c r="E123" s="17"/>
      <c r="F123" s="1" t="s">
        <v>327</v>
      </c>
      <c r="G123" s="1" t="s">
        <v>41</v>
      </c>
      <c r="H123" s="4" t="s">
        <v>651</v>
      </c>
      <c r="I123" s="5">
        <v>40000</v>
      </c>
      <c r="J123" s="5"/>
      <c r="K123" s="34" t="b">
        <v>0</v>
      </c>
      <c r="L123" s="35"/>
      <c r="M123" s="36">
        <f>Table4[[#This Row],[Attendance]]*Table4[[#This Row],[TICKET PRICE]]</f>
        <v>0</v>
      </c>
      <c r="N123" s="39"/>
      <c r="O123" s="39"/>
    </row>
    <row r="124" spans="1:15" hidden="1" x14ac:dyDescent="0.25">
      <c r="A124" s="4">
        <v>14</v>
      </c>
      <c r="B124" s="18">
        <v>46368</v>
      </c>
      <c r="C124" s="17">
        <v>0.72916666666666663</v>
      </c>
      <c r="D124" s="17"/>
      <c r="E124" s="17"/>
      <c r="F124" s="1" t="s">
        <v>210</v>
      </c>
      <c r="G124" s="1" t="s">
        <v>114</v>
      </c>
      <c r="H124" s="4" t="s">
        <v>657</v>
      </c>
      <c r="I124" s="5">
        <v>70000</v>
      </c>
      <c r="J124" s="5"/>
      <c r="K124" s="34" t="b">
        <v>0</v>
      </c>
      <c r="L124" s="35"/>
      <c r="M124" s="36">
        <f>Table4[[#This Row],[Attendance]]*Table4[[#This Row],[TICKET PRICE]]</f>
        <v>0</v>
      </c>
      <c r="N124" s="39"/>
      <c r="O124" s="39"/>
    </row>
    <row r="125" spans="1:15" hidden="1" x14ac:dyDescent="0.25">
      <c r="A125" s="4">
        <v>14</v>
      </c>
      <c r="B125" s="18">
        <v>46369</v>
      </c>
      <c r="C125" s="17">
        <v>0.58333333333333337</v>
      </c>
      <c r="D125" s="17"/>
      <c r="E125" s="17"/>
      <c r="F125" s="1" t="s">
        <v>557</v>
      </c>
      <c r="G125" s="1" t="s">
        <v>66</v>
      </c>
      <c r="H125" s="4" t="s">
        <v>644</v>
      </c>
      <c r="I125" s="5">
        <v>17000</v>
      </c>
      <c r="J125" s="5"/>
      <c r="K125" s="34" t="b">
        <v>0</v>
      </c>
      <c r="L125" s="35"/>
      <c r="M125" s="36">
        <f>Table4[[#This Row],[Attendance]]*Table4[[#This Row],[TICKET PRICE]]</f>
        <v>0</v>
      </c>
      <c r="N125" s="39"/>
      <c r="O125" s="39"/>
    </row>
    <row r="126" spans="1:15" hidden="1" x14ac:dyDescent="0.25">
      <c r="A126" s="4">
        <v>14</v>
      </c>
      <c r="B126" s="18">
        <v>46369</v>
      </c>
      <c r="C126" s="17">
        <v>0.58333333333333337</v>
      </c>
      <c r="D126" s="17"/>
      <c r="E126" s="17"/>
      <c r="F126" s="1" t="s">
        <v>371</v>
      </c>
      <c r="G126" s="1" t="s">
        <v>236</v>
      </c>
      <c r="H126" s="4" t="s">
        <v>654</v>
      </c>
      <c r="I126" s="5">
        <v>36000</v>
      </c>
      <c r="J126" s="5"/>
      <c r="K126" s="34" t="b">
        <v>0</v>
      </c>
      <c r="L126" s="35"/>
      <c r="M126" s="36">
        <f>Table4[[#This Row],[Attendance]]*Table4[[#This Row],[TICKET PRICE]]</f>
        <v>0</v>
      </c>
      <c r="N126" s="39"/>
      <c r="O126" s="39"/>
    </row>
    <row r="127" spans="1:15" hidden="1" x14ac:dyDescent="0.25">
      <c r="A127" s="4">
        <v>14</v>
      </c>
      <c r="B127" s="18">
        <v>46369</v>
      </c>
      <c r="C127" s="17">
        <v>0.6875</v>
      </c>
      <c r="D127" s="17"/>
      <c r="E127" s="17"/>
      <c r="F127" s="1" t="s">
        <v>260</v>
      </c>
      <c r="G127" s="1" t="s">
        <v>186</v>
      </c>
      <c r="H127" s="4" t="s">
        <v>655</v>
      </c>
      <c r="I127" s="5">
        <v>40000</v>
      </c>
      <c r="J127" s="5"/>
      <c r="K127" s="34" t="b">
        <v>0</v>
      </c>
      <c r="L127" s="35"/>
      <c r="M127" s="36">
        <f>Table4[[#This Row],[Attendance]]*Table4[[#This Row],[TICKET PRICE]]</f>
        <v>0</v>
      </c>
      <c r="N127" s="39"/>
      <c r="O127" s="39"/>
    </row>
    <row r="128" spans="1:15" hidden="1" x14ac:dyDescent="0.25">
      <c r="A128" s="4">
        <v>15</v>
      </c>
      <c r="B128" s="18">
        <v>46375</v>
      </c>
      <c r="C128" s="17">
        <v>0.52083333333333337</v>
      </c>
      <c r="D128" s="17"/>
      <c r="E128" s="17"/>
      <c r="F128" s="1" t="s">
        <v>91</v>
      </c>
      <c r="G128" s="1" t="s">
        <v>350</v>
      </c>
      <c r="H128" s="4" t="s">
        <v>658</v>
      </c>
      <c r="I128" s="5">
        <v>87000</v>
      </c>
      <c r="J128" s="5"/>
      <c r="K128" s="34" t="b">
        <v>0</v>
      </c>
      <c r="L128" s="35"/>
      <c r="M128" s="36">
        <f>Table4[[#This Row],[Attendance]]*Table4[[#This Row],[TICKET PRICE]]</f>
        <v>0</v>
      </c>
      <c r="N128" s="39"/>
      <c r="O128" s="39"/>
    </row>
    <row r="129" spans="1:15" hidden="1" x14ac:dyDescent="0.25">
      <c r="A129" s="4">
        <v>15</v>
      </c>
      <c r="B129" s="18">
        <v>46375</v>
      </c>
      <c r="C129" s="17">
        <v>0.625</v>
      </c>
      <c r="D129" s="17"/>
      <c r="E129" s="17"/>
      <c r="F129" s="1" t="s">
        <v>236</v>
      </c>
      <c r="G129" s="1" t="s">
        <v>163</v>
      </c>
      <c r="H129" s="4" t="s">
        <v>652</v>
      </c>
      <c r="I129" s="5">
        <v>35000</v>
      </c>
      <c r="J129" s="5"/>
      <c r="K129" s="34" t="b">
        <v>0</v>
      </c>
      <c r="L129" s="35"/>
      <c r="M129" s="36">
        <f>Table4[[#This Row],[Attendance]]*Table4[[#This Row],[TICKET PRICE]]</f>
        <v>0</v>
      </c>
      <c r="N129" s="39"/>
      <c r="O129" s="39"/>
    </row>
    <row r="130" spans="1:15" hidden="1" x14ac:dyDescent="0.25">
      <c r="A130" s="4">
        <v>15</v>
      </c>
      <c r="B130" s="18">
        <v>46375</v>
      </c>
      <c r="C130" s="17">
        <v>0.625</v>
      </c>
      <c r="D130" s="17"/>
      <c r="E130" s="17"/>
      <c r="F130" s="1" t="s">
        <v>41</v>
      </c>
      <c r="G130" s="1" t="s">
        <v>557</v>
      </c>
      <c r="H130" s="4" t="s">
        <v>660</v>
      </c>
      <c r="I130" s="5">
        <v>70000</v>
      </c>
      <c r="J130" s="5"/>
      <c r="K130" s="34" t="b">
        <v>0</v>
      </c>
      <c r="L130" s="35"/>
      <c r="M130" s="36">
        <f>Table4[[#This Row],[Attendance]]*Table4[[#This Row],[TICKET PRICE]]</f>
        <v>0</v>
      </c>
      <c r="N130" s="39"/>
      <c r="O130" s="39"/>
    </row>
    <row r="131" spans="1:15" hidden="1" x14ac:dyDescent="0.25">
      <c r="A131" s="4">
        <v>15</v>
      </c>
      <c r="B131" s="18">
        <v>46375</v>
      </c>
      <c r="C131" s="17">
        <v>0.625</v>
      </c>
      <c r="D131" s="17"/>
      <c r="E131" s="17"/>
      <c r="F131" s="1" t="s">
        <v>260</v>
      </c>
      <c r="G131" s="1" t="s">
        <v>556</v>
      </c>
      <c r="H131" s="4" t="s">
        <v>655</v>
      </c>
      <c r="I131" s="5">
        <v>40000</v>
      </c>
      <c r="J131" s="5"/>
      <c r="K131" s="34" t="b">
        <v>0</v>
      </c>
      <c r="L131" s="35"/>
      <c r="M131" s="36">
        <f>Table4[[#This Row],[Attendance]]*Table4[[#This Row],[TICKET PRICE]]</f>
        <v>0</v>
      </c>
      <c r="N131" s="39"/>
      <c r="O131" s="39"/>
    </row>
    <row r="132" spans="1:15" hidden="1" x14ac:dyDescent="0.25">
      <c r="A132" s="4">
        <v>15</v>
      </c>
      <c r="B132" s="18">
        <v>46375</v>
      </c>
      <c r="C132" s="17">
        <v>0.625</v>
      </c>
      <c r="D132" s="17"/>
      <c r="E132" s="17"/>
      <c r="F132" s="1" t="s">
        <v>305</v>
      </c>
      <c r="G132" s="1" t="s">
        <v>327</v>
      </c>
      <c r="H132" s="4" t="s">
        <v>646</v>
      </c>
      <c r="I132" s="5">
        <v>45000</v>
      </c>
      <c r="J132" s="5"/>
      <c r="K132" s="34" t="b">
        <v>0</v>
      </c>
      <c r="L132" s="35"/>
      <c r="M132" s="36">
        <f>Table4[[#This Row],[Attendance]]*Table4[[#This Row],[TICKET PRICE]]</f>
        <v>0</v>
      </c>
      <c r="N132" s="39"/>
      <c r="O132" s="39"/>
    </row>
    <row r="133" spans="1:15" hidden="1" x14ac:dyDescent="0.25">
      <c r="A133" s="4">
        <v>15</v>
      </c>
      <c r="B133" s="18">
        <v>46375</v>
      </c>
      <c r="C133" s="17">
        <v>0.72916666666666663</v>
      </c>
      <c r="D133" s="17"/>
      <c r="E133" s="17"/>
      <c r="F133" s="1" t="s">
        <v>566</v>
      </c>
      <c r="G133" s="1" t="s">
        <v>283</v>
      </c>
      <c r="H133" s="4" t="s">
        <v>643</v>
      </c>
      <c r="I133" s="5">
        <v>8000</v>
      </c>
      <c r="J133" s="5"/>
      <c r="K133" s="34" t="b">
        <v>0</v>
      </c>
      <c r="L133" s="35"/>
      <c r="M133" s="36">
        <f>Table4[[#This Row],[Attendance]]*Table4[[#This Row],[TICKET PRICE]]</f>
        <v>0</v>
      </c>
      <c r="N133" s="39"/>
      <c r="O133" s="39"/>
    </row>
    <row r="134" spans="1:15" hidden="1" x14ac:dyDescent="0.25">
      <c r="A134" s="4">
        <v>15</v>
      </c>
      <c r="B134" s="18">
        <v>46376</v>
      </c>
      <c r="C134" s="17">
        <v>0.58333333333333337</v>
      </c>
      <c r="D134" s="17"/>
      <c r="E134" s="17"/>
      <c r="F134" s="1" t="s">
        <v>66</v>
      </c>
      <c r="G134" s="1" t="s">
        <v>210</v>
      </c>
      <c r="H134" s="4" t="s">
        <v>659</v>
      </c>
      <c r="I134" s="5">
        <v>87000</v>
      </c>
      <c r="J134" s="5"/>
      <c r="K134" s="34" t="b">
        <v>0</v>
      </c>
      <c r="L134" s="35"/>
      <c r="M134" s="36">
        <f>Table4[[#This Row],[Attendance]]*Table4[[#This Row],[TICKET PRICE]]</f>
        <v>0</v>
      </c>
      <c r="N134" s="39"/>
      <c r="O134" s="39"/>
    </row>
    <row r="135" spans="1:15" hidden="1" x14ac:dyDescent="0.25">
      <c r="A135" s="4">
        <v>15</v>
      </c>
      <c r="B135" s="18">
        <v>46376</v>
      </c>
      <c r="C135" s="17">
        <v>0.58333333333333337</v>
      </c>
      <c r="D135" s="17"/>
      <c r="E135" s="17"/>
      <c r="F135" s="1" t="s">
        <v>114</v>
      </c>
      <c r="G135" s="1" t="s">
        <v>139</v>
      </c>
      <c r="H135" s="4" t="s">
        <v>645</v>
      </c>
      <c r="I135" s="5">
        <v>45000</v>
      </c>
      <c r="J135" s="5"/>
      <c r="K135" s="34" t="b">
        <v>0</v>
      </c>
      <c r="L135" s="35"/>
      <c r="M135" s="36">
        <f>Table4[[#This Row],[Attendance]]*Table4[[#This Row],[TICKET PRICE]]</f>
        <v>0</v>
      </c>
      <c r="N135" s="39"/>
      <c r="O135" s="39"/>
    </row>
    <row r="136" spans="1:15" hidden="1" x14ac:dyDescent="0.25">
      <c r="A136" s="4">
        <v>15</v>
      </c>
      <c r="B136" s="18">
        <v>46376</v>
      </c>
      <c r="C136" s="17">
        <v>0.6875</v>
      </c>
      <c r="D136" s="17"/>
      <c r="E136" s="17"/>
      <c r="F136" s="1" t="s">
        <v>186</v>
      </c>
      <c r="G136" s="1" t="s">
        <v>371</v>
      </c>
      <c r="H136" s="4" t="s">
        <v>647</v>
      </c>
      <c r="I136" s="5">
        <v>80000</v>
      </c>
      <c r="J136" s="5"/>
      <c r="K136" s="34" t="b">
        <v>0</v>
      </c>
      <c r="L136" s="35"/>
      <c r="M136" s="36">
        <f>Table4[[#This Row],[Attendance]]*Table4[[#This Row],[TICKET PRICE]]</f>
        <v>0</v>
      </c>
      <c r="N136" s="39"/>
      <c r="O136" s="39"/>
    </row>
    <row r="137" spans="1:15" hidden="1" x14ac:dyDescent="0.25">
      <c r="A137" s="4">
        <v>16</v>
      </c>
      <c r="B137" s="18">
        <v>46382</v>
      </c>
      <c r="C137" s="17">
        <v>0.52083333333333337</v>
      </c>
      <c r="D137" s="17"/>
      <c r="E137" s="17"/>
      <c r="F137" s="1" t="s">
        <v>139</v>
      </c>
      <c r="G137" s="1" t="s">
        <v>66</v>
      </c>
      <c r="H137" s="4" t="s">
        <v>653</v>
      </c>
      <c r="I137" s="5">
        <v>65000</v>
      </c>
      <c r="J137" s="5"/>
      <c r="K137" s="34" t="b">
        <v>0</v>
      </c>
      <c r="L137" s="35"/>
      <c r="M137" s="36">
        <f>Table4[[#This Row],[Attendance]]*Table4[[#This Row],[TICKET PRICE]]</f>
        <v>0</v>
      </c>
      <c r="N137" s="39"/>
      <c r="O137" s="39"/>
    </row>
    <row r="138" spans="1:15" hidden="1" x14ac:dyDescent="0.25">
      <c r="A138" s="4">
        <v>16</v>
      </c>
      <c r="B138" s="18">
        <v>46382</v>
      </c>
      <c r="C138" s="17">
        <v>0.625</v>
      </c>
      <c r="D138" s="17"/>
      <c r="E138" s="17"/>
      <c r="F138" s="1" t="s">
        <v>236</v>
      </c>
      <c r="G138" s="1" t="s">
        <v>91</v>
      </c>
      <c r="H138" s="4" t="s">
        <v>652</v>
      </c>
      <c r="I138" s="5">
        <v>35000</v>
      </c>
      <c r="J138" s="5"/>
      <c r="K138" s="34" t="b">
        <v>0</v>
      </c>
      <c r="L138" s="35"/>
      <c r="M138" s="36">
        <f>Table4[[#This Row],[Attendance]]*Table4[[#This Row],[TICKET PRICE]]</f>
        <v>0</v>
      </c>
      <c r="N138" s="39"/>
      <c r="O138" s="39"/>
    </row>
    <row r="139" spans="1:15" hidden="1" x14ac:dyDescent="0.25">
      <c r="A139" s="4">
        <v>16</v>
      </c>
      <c r="B139" s="18">
        <v>46382</v>
      </c>
      <c r="C139" s="17">
        <v>0.625</v>
      </c>
      <c r="D139" s="17"/>
      <c r="E139" s="17"/>
      <c r="F139" s="1" t="s">
        <v>350</v>
      </c>
      <c r="G139" s="1" t="s">
        <v>114</v>
      </c>
      <c r="H139" s="4" t="s">
        <v>648</v>
      </c>
      <c r="I139" s="5">
        <v>23000</v>
      </c>
      <c r="J139" s="5"/>
      <c r="K139" s="34" t="b">
        <v>0</v>
      </c>
      <c r="L139" s="35"/>
      <c r="M139" s="36">
        <f>Table4[[#This Row],[Attendance]]*Table4[[#This Row],[TICKET PRICE]]</f>
        <v>0</v>
      </c>
      <c r="N139" s="39"/>
      <c r="O139" s="39"/>
    </row>
    <row r="140" spans="1:15" hidden="1" x14ac:dyDescent="0.25">
      <c r="A140" s="4">
        <v>16</v>
      </c>
      <c r="B140" s="18">
        <v>46382</v>
      </c>
      <c r="C140" s="17">
        <v>0.625</v>
      </c>
      <c r="D140" s="17"/>
      <c r="E140" s="17"/>
      <c r="F140" s="1" t="s">
        <v>305</v>
      </c>
      <c r="G140" s="1" t="s">
        <v>41</v>
      </c>
      <c r="H140" s="4" t="s">
        <v>646</v>
      </c>
      <c r="I140" s="5">
        <v>45000</v>
      </c>
      <c r="J140" s="5"/>
      <c r="K140" s="34" t="b">
        <v>0</v>
      </c>
      <c r="L140" s="35"/>
      <c r="M140" s="36">
        <f>Table4[[#This Row],[Attendance]]*Table4[[#This Row],[TICKET PRICE]]</f>
        <v>0</v>
      </c>
      <c r="N140" s="39"/>
      <c r="O140" s="39"/>
    </row>
    <row r="141" spans="1:15" hidden="1" x14ac:dyDescent="0.25">
      <c r="A141" s="4">
        <v>16</v>
      </c>
      <c r="B141" s="18">
        <v>46382</v>
      </c>
      <c r="C141" s="17">
        <v>0.625</v>
      </c>
      <c r="D141" s="17"/>
      <c r="E141" s="17"/>
      <c r="F141" s="1" t="s">
        <v>283</v>
      </c>
      <c r="G141" s="1" t="s">
        <v>260</v>
      </c>
      <c r="H141" s="4" t="s">
        <v>650</v>
      </c>
      <c r="I141" s="5">
        <v>55000</v>
      </c>
      <c r="J141" s="5"/>
      <c r="K141" s="34" t="b">
        <v>0</v>
      </c>
      <c r="L141" s="35"/>
      <c r="M141" s="36">
        <f>Table4[[#This Row],[Attendance]]*Table4[[#This Row],[TICKET PRICE]]</f>
        <v>0</v>
      </c>
      <c r="N141" s="39"/>
      <c r="O141" s="39"/>
    </row>
    <row r="142" spans="1:15" hidden="1" x14ac:dyDescent="0.25">
      <c r="A142" s="4">
        <v>16</v>
      </c>
      <c r="B142" s="18">
        <v>46382</v>
      </c>
      <c r="C142" s="17">
        <v>0.625</v>
      </c>
      <c r="D142" s="17"/>
      <c r="E142" s="17"/>
      <c r="F142" s="1" t="s">
        <v>327</v>
      </c>
      <c r="G142" s="1" t="s">
        <v>566</v>
      </c>
      <c r="H142" s="4" t="s">
        <v>651</v>
      </c>
      <c r="I142" s="5">
        <v>40000</v>
      </c>
      <c r="J142" s="5"/>
      <c r="K142" s="34" t="b">
        <v>0</v>
      </c>
      <c r="L142" s="35"/>
      <c r="M142" s="36">
        <f>Table4[[#This Row],[Attendance]]*Table4[[#This Row],[TICKET PRICE]]</f>
        <v>0</v>
      </c>
      <c r="N142" s="39"/>
      <c r="O142" s="39"/>
    </row>
    <row r="143" spans="1:15" hidden="1" x14ac:dyDescent="0.25">
      <c r="A143" s="4">
        <v>16</v>
      </c>
      <c r="B143" s="18">
        <v>46382</v>
      </c>
      <c r="C143" s="17">
        <v>0.72916666666666663</v>
      </c>
      <c r="D143" s="17"/>
      <c r="E143" s="17"/>
      <c r="F143" s="1" t="s">
        <v>556</v>
      </c>
      <c r="G143" s="1" t="s">
        <v>371</v>
      </c>
      <c r="H143" s="4" t="s">
        <v>642</v>
      </c>
      <c r="I143" s="5">
        <v>29700</v>
      </c>
      <c r="J143" s="5"/>
      <c r="K143" s="34" t="b">
        <v>0</v>
      </c>
      <c r="L143" s="35"/>
      <c r="M143" s="36">
        <f>Table4[[#This Row],[Attendance]]*Table4[[#This Row],[TICKET PRICE]]</f>
        <v>0</v>
      </c>
      <c r="N143" s="39"/>
      <c r="O143" s="39"/>
    </row>
    <row r="144" spans="1:15" hidden="1" x14ac:dyDescent="0.25">
      <c r="A144" s="4">
        <v>16</v>
      </c>
      <c r="B144" s="18">
        <v>46382</v>
      </c>
      <c r="C144" s="17">
        <v>0.72916666666666663</v>
      </c>
      <c r="D144" s="17"/>
      <c r="E144" s="17"/>
      <c r="F144" s="1" t="s">
        <v>186</v>
      </c>
      <c r="G144" s="1" t="s">
        <v>163</v>
      </c>
      <c r="H144" s="4" t="s">
        <v>647</v>
      </c>
      <c r="I144" s="5">
        <v>80000</v>
      </c>
      <c r="J144" s="5"/>
      <c r="K144" s="34" t="b">
        <v>0</v>
      </c>
      <c r="L144" s="35"/>
      <c r="M144" s="36">
        <f>Table4[[#This Row],[Attendance]]*Table4[[#This Row],[TICKET PRICE]]</f>
        <v>0</v>
      </c>
      <c r="N144" s="39"/>
      <c r="O144" s="39"/>
    </row>
    <row r="145" spans="1:15" hidden="1" x14ac:dyDescent="0.25">
      <c r="A145" s="4">
        <v>16</v>
      </c>
      <c r="B145" s="18">
        <v>46382</v>
      </c>
      <c r="C145" s="17">
        <v>0.83333333333333337</v>
      </c>
      <c r="D145" s="17"/>
      <c r="E145" s="17"/>
      <c r="F145" s="1" t="s">
        <v>210</v>
      </c>
      <c r="G145" s="1" t="s">
        <v>557</v>
      </c>
      <c r="H145" s="4" t="s">
        <v>657</v>
      </c>
      <c r="I145" s="5">
        <v>70000</v>
      </c>
      <c r="J145" s="5"/>
      <c r="K145" s="34" t="b">
        <v>0</v>
      </c>
      <c r="L145" s="35"/>
      <c r="M145" s="36">
        <f>Table4[[#This Row],[Attendance]]*Table4[[#This Row],[TICKET PRICE]]</f>
        <v>0</v>
      </c>
      <c r="N145" s="39"/>
      <c r="O145" s="39"/>
    </row>
    <row r="146" spans="1:15" hidden="1" x14ac:dyDescent="0.25">
      <c r="A146" s="4">
        <v>17</v>
      </c>
      <c r="B146" s="18">
        <v>46388</v>
      </c>
      <c r="C146" s="17">
        <v>0.52083333333333337</v>
      </c>
      <c r="D146" s="17"/>
      <c r="E146" s="17"/>
      <c r="F146" s="1" t="s">
        <v>163</v>
      </c>
      <c r="G146" s="1" t="s">
        <v>556</v>
      </c>
      <c r="H146" s="4" t="s">
        <v>656</v>
      </c>
      <c r="I146" s="5">
        <v>100000</v>
      </c>
      <c r="J146" s="5"/>
      <c r="K146" s="34" t="b">
        <v>0</v>
      </c>
      <c r="L146" s="35"/>
      <c r="M146" s="36">
        <f>Table4[[#This Row],[Attendance]]*Table4[[#This Row],[TICKET PRICE]]</f>
        <v>0</v>
      </c>
      <c r="N146" s="39"/>
      <c r="O146" s="39"/>
    </row>
    <row r="147" spans="1:15" hidden="1" x14ac:dyDescent="0.25">
      <c r="A147" s="4">
        <v>17</v>
      </c>
      <c r="B147" s="18">
        <v>46388</v>
      </c>
      <c r="C147" s="17">
        <v>0.625</v>
      </c>
      <c r="D147" s="17"/>
      <c r="E147" s="17"/>
      <c r="F147" s="1" t="s">
        <v>260</v>
      </c>
      <c r="G147" s="1" t="s">
        <v>327</v>
      </c>
      <c r="H147" s="4" t="s">
        <v>655</v>
      </c>
      <c r="I147" s="5">
        <v>40000</v>
      </c>
      <c r="J147" s="5"/>
      <c r="K147" s="34" t="b">
        <v>0</v>
      </c>
      <c r="L147" s="35"/>
      <c r="M147" s="36">
        <f>Table4[[#This Row],[Attendance]]*Table4[[#This Row],[TICKET PRICE]]</f>
        <v>0</v>
      </c>
      <c r="N147" s="39"/>
      <c r="O147" s="39"/>
    </row>
    <row r="148" spans="1:15" hidden="1" x14ac:dyDescent="0.25">
      <c r="A148" s="4">
        <v>17</v>
      </c>
      <c r="B148" s="18">
        <v>46388</v>
      </c>
      <c r="C148" s="17">
        <v>0.625</v>
      </c>
      <c r="D148" s="17"/>
      <c r="E148" s="17"/>
      <c r="F148" s="1" t="s">
        <v>371</v>
      </c>
      <c r="G148" s="1" t="s">
        <v>283</v>
      </c>
      <c r="H148" s="4" t="s">
        <v>654</v>
      </c>
      <c r="I148" s="5">
        <v>36000</v>
      </c>
      <c r="J148" s="5"/>
      <c r="K148" s="34" t="b">
        <v>0</v>
      </c>
      <c r="L148" s="35"/>
      <c r="M148" s="36">
        <f>Table4[[#This Row],[Attendance]]*Table4[[#This Row],[TICKET PRICE]]</f>
        <v>0</v>
      </c>
      <c r="N148" s="39"/>
      <c r="O148" s="39"/>
    </row>
    <row r="149" spans="1:15" hidden="1" x14ac:dyDescent="0.25">
      <c r="A149" s="4">
        <v>17</v>
      </c>
      <c r="B149" s="18">
        <v>46388</v>
      </c>
      <c r="C149" s="17">
        <v>0.625</v>
      </c>
      <c r="D149" s="17"/>
      <c r="E149" s="17"/>
      <c r="F149" s="1" t="s">
        <v>41</v>
      </c>
      <c r="G149" s="1" t="s">
        <v>210</v>
      </c>
      <c r="H149" s="4" t="s">
        <v>660</v>
      </c>
      <c r="I149" s="5">
        <v>70000</v>
      </c>
      <c r="J149" s="5"/>
      <c r="K149" s="34" t="b">
        <v>0</v>
      </c>
      <c r="L149" s="35"/>
      <c r="M149" s="36">
        <f>Table4[[#This Row],[Attendance]]*Table4[[#This Row],[TICKET PRICE]]</f>
        <v>0</v>
      </c>
      <c r="N149" s="39"/>
      <c r="O149" s="39"/>
    </row>
    <row r="150" spans="1:15" hidden="1" x14ac:dyDescent="0.25">
      <c r="A150" s="4">
        <v>17</v>
      </c>
      <c r="B150" s="18">
        <v>46388</v>
      </c>
      <c r="C150" s="17">
        <v>0.625</v>
      </c>
      <c r="D150" s="17"/>
      <c r="E150" s="17"/>
      <c r="F150" s="1" t="s">
        <v>114</v>
      </c>
      <c r="G150" s="1" t="s">
        <v>236</v>
      </c>
      <c r="H150" s="4" t="s">
        <v>645</v>
      </c>
      <c r="I150" s="5">
        <v>45000</v>
      </c>
      <c r="J150" s="5"/>
      <c r="K150" s="34" t="b">
        <v>0</v>
      </c>
      <c r="L150" s="35"/>
      <c r="M150" s="36">
        <f>Table4[[#This Row],[Attendance]]*Table4[[#This Row],[TICKET PRICE]]</f>
        <v>0</v>
      </c>
      <c r="N150" s="39"/>
      <c r="O150" s="39"/>
    </row>
    <row r="151" spans="1:15" hidden="1" x14ac:dyDescent="0.25">
      <c r="A151" s="4">
        <v>17</v>
      </c>
      <c r="B151" s="18">
        <v>46388</v>
      </c>
      <c r="C151" s="17">
        <v>0.625</v>
      </c>
      <c r="D151" s="17"/>
      <c r="E151" s="17"/>
      <c r="F151" s="1" t="s">
        <v>557</v>
      </c>
      <c r="G151" s="1" t="s">
        <v>139</v>
      </c>
      <c r="H151" s="4" t="s">
        <v>644</v>
      </c>
      <c r="I151" s="5">
        <v>17000</v>
      </c>
      <c r="J151" s="5"/>
      <c r="K151" s="34" t="b">
        <v>0</v>
      </c>
      <c r="L151" s="35"/>
      <c r="M151" s="36">
        <f>Table4[[#This Row],[Attendance]]*Table4[[#This Row],[TICKET PRICE]]</f>
        <v>0</v>
      </c>
      <c r="N151" s="39"/>
      <c r="O151" s="39"/>
    </row>
    <row r="152" spans="1:15" hidden="1" x14ac:dyDescent="0.25">
      <c r="A152" s="4">
        <v>17</v>
      </c>
      <c r="B152" s="18">
        <v>46388</v>
      </c>
      <c r="C152" s="17">
        <v>0.72916666666666663</v>
      </c>
      <c r="D152" s="17"/>
      <c r="E152" s="17"/>
      <c r="F152" s="1" t="s">
        <v>66</v>
      </c>
      <c r="G152" s="1" t="s">
        <v>350</v>
      </c>
      <c r="H152" s="4" t="s">
        <v>659</v>
      </c>
      <c r="I152" s="5">
        <v>87000</v>
      </c>
      <c r="J152" s="5"/>
      <c r="K152" s="34" t="b">
        <v>0</v>
      </c>
      <c r="L152" s="35"/>
      <c r="M152" s="36">
        <f>Table4[[#This Row],[Attendance]]*Table4[[#This Row],[TICKET PRICE]]</f>
        <v>0</v>
      </c>
      <c r="N152" s="39"/>
      <c r="O152" s="39"/>
    </row>
    <row r="153" spans="1:15" hidden="1" x14ac:dyDescent="0.25">
      <c r="A153" s="4">
        <v>17</v>
      </c>
      <c r="B153" s="18">
        <v>46388</v>
      </c>
      <c r="C153" s="17">
        <v>0.72916666666666663</v>
      </c>
      <c r="D153" s="17"/>
      <c r="E153" s="17"/>
      <c r="F153" s="1" t="s">
        <v>566</v>
      </c>
      <c r="G153" s="1" t="s">
        <v>305</v>
      </c>
      <c r="H153" s="4" t="s">
        <v>643</v>
      </c>
      <c r="I153" s="5">
        <v>8000</v>
      </c>
      <c r="J153" s="5"/>
      <c r="K153" s="34" t="b">
        <v>0</v>
      </c>
      <c r="L153" s="35"/>
      <c r="M153" s="36">
        <f>Table4[[#This Row],[Attendance]]*Table4[[#This Row],[TICKET PRICE]]</f>
        <v>0</v>
      </c>
      <c r="N153" s="39"/>
      <c r="O153" s="39"/>
    </row>
    <row r="154" spans="1:15" hidden="1" x14ac:dyDescent="0.25">
      <c r="A154" s="4">
        <v>17</v>
      </c>
      <c r="B154" s="18">
        <v>46388</v>
      </c>
      <c r="C154" s="17">
        <v>0.83333333333333337</v>
      </c>
      <c r="D154" s="17"/>
      <c r="E154" s="17"/>
      <c r="F154" s="1" t="s">
        <v>91</v>
      </c>
      <c r="G154" s="1" t="s">
        <v>186</v>
      </c>
      <c r="H154" s="4" t="s">
        <v>658</v>
      </c>
      <c r="I154" s="5">
        <v>87000</v>
      </c>
      <c r="J154" s="5"/>
      <c r="K154" s="34" t="b">
        <v>0</v>
      </c>
      <c r="L154" s="35"/>
      <c r="M154" s="36">
        <f>Table4[[#This Row],[Attendance]]*Table4[[#This Row],[TICKET PRICE]]</f>
        <v>0</v>
      </c>
      <c r="N154" s="39"/>
      <c r="O154" s="39"/>
    </row>
    <row r="155" spans="1:15" hidden="1" x14ac:dyDescent="0.25">
      <c r="A155" s="4">
        <v>18</v>
      </c>
      <c r="B155" s="18">
        <v>46396</v>
      </c>
      <c r="C155" s="17">
        <v>0.52083333333333337</v>
      </c>
      <c r="D155" s="17"/>
      <c r="E155" s="17"/>
      <c r="F155" s="1" t="s">
        <v>41</v>
      </c>
      <c r="G155" s="1" t="s">
        <v>91</v>
      </c>
      <c r="H155" s="4" t="s">
        <v>660</v>
      </c>
      <c r="I155" s="5">
        <v>70000</v>
      </c>
      <c r="J155" s="5"/>
      <c r="K155" s="34" t="b">
        <v>0</v>
      </c>
      <c r="L155" s="35"/>
      <c r="M155" s="36">
        <f>Table4[[#This Row],[Attendance]]*Table4[[#This Row],[TICKET PRICE]]</f>
        <v>0</v>
      </c>
      <c r="N155" s="39"/>
      <c r="O155" s="39"/>
    </row>
    <row r="156" spans="1:15" hidden="1" x14ac:dyDescent="0.25">
      <c r="A156" s="4">
        <v>18</v>
      </c>
      <c r="B156" s="18">
        <v>46396</v>
      </c>
      <c r="C156" s="17">
        <v>0.625</v>
      </c>
      <c r="D156" s="17"/>
      <c r="E156" s="17"/>
      <c r="F156" s="1" t="s">
        <v>186</v>
      </c>
      <c r="G156" s="1" t="s">
        <v>556</v>
      </c>
      <c r="H156" s="4" t="s">
        <v>647</v>
      </c>
      <c r="I156" s="5">
        <v>80000</v>
      </c>
      <c r="J156" s="5"/>
      <c r="K156" s="34" t="b">
        <v>0</v>
      </c>
      <c r="L156" s="35"/>
      <c r="M156" s="36">
        <f>Table4[[#This Row],[Attendance]]*Table4[[#This Row],[TICKET PRICE]]</f>
        <v>0</v>
      </c>
      <c r="N156" s="39"/>
      <c r="O156" s="39"/>
    </row>
    <row r="157" spans="1:15" hidden="1" x14ac:dyDescent="0.25">
      <c r="A157" s="4">
        <v>18</v>
      </c>
      <c r="B157" s="18">
        <v>46396</v>
      </c>
      <c r="C157" s="17">
        <v>0.625</v>
      </c>
      <c r="D157" s="17"/>
      <c r="E157" s="17"/>
      <c r="F157" s="1" t="s">
        <v>114</v>
      </c>
      <c r="G157" s="1" t="s">
        <v>163</v>
      </c>
      <c r="H157" s="4" t="s">
        <v>645</v>
      </c>
      <c r="I157" s="5">
        <v>45000</v>
      </c>
      <c r="J157" s="5"/>
      <c r="K157" s="34" t="b">
        <v>0</v>
      </c>
      <c r="L157" s="35"/>
      <c r="M157" s="36">
        <f>Table4[[#This Row],[Attendance]]*Table4[[#This Row],[TICKET PRICE]]</f>
        <v>0</v>
      </c>
      <c r="N157" s="39"/>
      <c r="O157" s="39"/>
    </row>
    <row r="158" spans="1:15" hidden="1" x14ac:dyDescent="0.25">
      <c r="A158" s="4">
        <v>18</v>
      </c>
      <c r="B158" s="18">
        <v>46396</v>
      </c>
      <c r="C158" s="17">
        <v>0.625</v>
      </c>
      <c r="D158" s="17"/>
      <c r="E158" s="17"/>
      <c r="F158" s="1" t="s">
        <v>139</v>
      </c>
      <c r="G158" s="1" t="s">
        <v>305</v>
      </c>
      <c r="H158" s="4" t="s">
        <v>653</v>
      </c>
      <c r="I158" s="5">
        <v>65000</v>
      </c>
      <c r="J158" s="5"/>
      <c r="K158" s="34" t="b">
        <v>0</v>
      </c>
      <c r="L158" s="35"/>
      <c r="M158" s="36">
        <f>Table4[[#This Row],[Attendance]]*Table4[[#This Row],[TICKET PRICE]]</f>
        <v>0</v>
      </c>
      <c r="N158" s="39"/>
      <c r="O158" s="39"/>
    </row>
    <row r="159" spans="1:15" hidden="1" x14ac:dyDescent="0.25">
      <c r="A159" s="4">
        <v>18</v>
      </c>
      <c r="B159" s="18">
        <v>46396</v>
      </c>
      <c r="C159" s="17">
        <v>0.625</v>
      </c>
      <c r="D159" s="17"/>
      <c r="E159" s="17"/>
      <c r="F159" s="1" t="s">
        <v>557</v>
      </c>
      <c r="G159" s="1" t="s">
        <v>260</v>
      </c>
      <c r="H159" s="4" t="s">
        <v>644</v>
      </c>
      <c r="I159" s="5">
        <v>17000</v>
      </c>
      <c r="J159" s="5"/>
      <c r="K159" s="34" t="b">
        <v>0</v>
      </c>
      <c r="L159" s="35"/>
      <c r="M159" s="36">
        <f>Table4[[#This Row],[Attendance]]*Table4[[#This Row],[TICKET PRICE]]</f>
        <v>0</v>
      </c>
      <c r="N159" s="39"/>
      <c r="O159" s="39"/>
    </row>
    <row r="160" spans="1:15" hidden="1" x14ac:dyDescent="0.25">
      <c r="A160" s="4">
        <v>18</v>
      </c>
      <c r="B160" s="18">
        <v>46396</v>
      </c>
      <c r="C160" s="17">
        <v>0.72916666666666663</v>
      </c>
      <c r="D160" s="17"/>
      <c r="E160" s="17"/>
      <c r="F160" s="1" t="s">
        <v>210</v>
      </c>
      <c r="G160" s="1" t="s">
        <v>566</v>
      </c>
      <c r="H160" s="4" t="s">
        <v>657</v>
      </c>
      <c r="I160" s="5">
        <v>70000</v>
      </c>
      <c r="J160" s="5"/>
      <c r="K160" s="34" t="b">
        <v>0</v>
      </c>
      <c r="L160" s="35"/>
      <c r="M160" s="36">
        <f>Table4[[#This Row],[Attendance]]*Table4[[#This Row],[TICKET PRICE]]</f>
        <v>0</v>
      </c>
      <c r="N160" s="39"/>
      <c r="O160" s="39"/>
    </row>
    <row r="161" spans="1:15" hidden="1" x14ac:dyDescent="0.25">
      <c r="A161" s="4">
        <v>18</v>
      </c>
      <c r="B161" s="18">
        <v>46397</v>
      </c>
      <c r="C161" s="17">
        <v>0.58333333333333337</v>
      </c>
      <c r="D161" s="17"/>
      <c r="E161" s="17"/>
      <c r="F161" s="1" t="s">
        <v>236</v>
      </c>
      <c r="G161" s="1" t="s">
        <v>283</v>
      </c>
      <c r="H161" s="4" t="s">
        <v>652</v>
      </c>
      <c r="I161" s="5">
        <v>35000</v>
      </c>
      <c r="J161" s="5"/>
      <c r="K161" s="34" t="b">
        <v>0</v>
      </c>
      <c r="L161" s="35"/>
      <c r="M161" s="36">
        <f>Table4[[#This Row],[Attendance]]*Table4[[#This Row],[TICKET PRICE]]</f>
        <v>0</v>
      </c>
      <c r="N161" s="39"/>
      <c r="O161" s="39"/>
    </row>
    <row r="162" spans="1:15" hidden="1" x14ac:dyDescent="0.25">
      <c r="A162" s="4">
        <v>18</v>
      </c>
      <c r="B162" s="18">
        <v>46397</v>
      </c>
      <c r="C162" s="17">
        <v>0.58333333333333337</v>
      </c>
      <c r="D162" s="17"/>
      <c r="E162" s="17"/>
      <c r="F162" s="1" t="s">
        <v>66</v>
      </c>
      <c r="G162" s="1" t="s">
        <v>371</v>
      </c>
      <c r="H162" s="4" t="s">
        <v>659</v>
      </c>
      <c r="I162" s="5">
        <v>87000</v>
      </c>
      <c r="J162" s="5"/>
      <c r="K162" s="34" t="b">
        <v>0</v>
      </c>
      <c r="L162" s="35"/>
      <c r="M162" s="36">
        <f>Table4[[#This Row],[Attendance]]*Table4[[#This Row],[TICKET PRICE]]</f>
        <v>0</v>
      </c>
      <c r="N162" s="39"/>
      <c r="O162" s="39"/>
    </row>
    <row r="163" spans="1:15" hidden="1" x14ac:dyDescent="0.25">
      <c r="A163" s="4">
        <v>18</v>
      </c>
      <c r="B163" s="18">
        <v>46397</v>
      </c>
      <c r="C163" s="17">
        <v>0.6875</v>
      </c>
      <c r="D163" s="17"/>
      <c r="E163" s="17"/>
      <c r="F163" s="1" t="s">
        <v>350</v>
      </c>
      <c r="G163" s="1" t="s">
        <v>327</v>
      </c>
      <c r="H163" s="4" t="s">
        <v>648</v>
      </c>
      <c r="I163" s="5">
        <v>23000</v>
      </c>
      <c r="J163" s="5"/>
      <c r="K163" s="34" t="b">
        <v>0</v>
      </c>
      <c r="L163" s="35"/>
      <c r="M163" s="36">
        <f>Table4[[#This Row],[Attendance]]*Table4[[#This Row],[TICKET PRICE]]</f>
        <v>0</v>
      </c>
      <c r="N163" s="39"/>
      <c r="O163" s="39"/>
    </row>
    <row r="164" spans="1:15" hidden="1" x14ac:dyDescent="0.25">
      <c r="A164" s="4">
        <v>19</v>
      </c>
      <c r="B164" s="18">
        <v>46403</v>
      </c>
      <c r="C164" s="17">
        <v>0.52083333333333337</v>
      </c>
      <c r="D164" s="17"/>
      <c r="E164" s="17"/>
      <c r="F164" s="1" t="s">
        <v>283</v>
      </c>
      <c r="G164" s="1" t="s">
        <v>186</v>
      </c>
      <c r="H164" s="4" t="s">
        <v>650</v>
      </c>
      <c r="I164" s="5">
        <v>55000</v>
      </c>
      <c r="J164" s="5"/>
      <c r="K164" s="34" t="b">
        <v>0</v>
      </c>
      <c r="L164" s="35"/>
      <c r="M164" s="36">
        <f>Table4[[#This Row],[Attendance]]*Table4[[#This Row],[TICKET PRICE]]</f>
        <v>0</v>
      </c>
      <c r="N164" s="39"/>
      <c r="O164" s="39"/>
    </row>
    <row r="165" spans="1:15" hidden="1" x14ac:dyDescent="0.25">
      <c r="A165" s="4">
        <v>19</v>
      </c>
      <c r="B165" s="18">
        <v>46403</v>
      </c>
      <c r="C165" s="17">
        <v>0.625</v>
      </c>
      <c r="D165" s="17"/>
      <c r="E165" s="17"/>
      <c r="F165" s="1" t="s">
        <v>91</v>
      </c>
      <c r="G165" s="1" t="s">
        <v>114</v>
      </c>
      <c r="H165" s="4" t="s">
        <v>658</v>
      </c>
      <c r="I165" s="5">
        <v>87000</v>
      </c>
      <c r="J165" s="5"/>
      <c r="K165" s="34" t="b">
        <v>0</v>
      </c>
      <c r="L165" s="35"/>
      <c r="M165" s="36">
        <f>Table4[[#This Row],[Attendance]]*Table4[[#This Row],[TICKET PRICE]]</f>
        <v>0</v>
      </c>
      <c r="N165" s="39"/>
      <c r="O165" s="39"/>
    </row>
    <row r="166" spans="1:15" hidden="1" x14ac:dyDescent="0.25">
      <c r="A166" s="4">
        <v>19</v>
      </c>
      <c r="B166" s="18">
        <v>46403</v>
      </c>
      <c r="C166" s="17">
        <v>0.625</v>
      </c>
      <c r="D166" s="17"/>
      <c r="E166" s="17"/>
      <c r="F166" s="1" t="s">
        <v>371</v>
      </c>
      <c r="G166" s="1" t="s">
        <v>557</v>
      </c>
      <c r="H166" s="4" t="s">
        <v>654</v>
      </c>
      <c r="I166" s="5">
        <v>36000</v>
      </c>
      <c r="J166" s="5"/>
      <c r="K166" s="34" t="b">
        <v>0</v>
      </c>
      <c r="L166" s="35"/>
      <c r="M166" s="36">
        <f>Table4[[#This Row],[Attendance]]*Table4[[#This Row],[TICKET PRICE]]</f>
        <v>0</v>
      </c>
      <c r="N166" s="39"/>
      <c r="O166" s="39"/>
    </row>
    <row r="167" spans="1:15" hidden="1" x14ac:dyDescent="0.25">
      <c r="A167" s="4">
        <v>19</v>
      </c>
      <c r="B167" s="18">
        <v>46403</v>
      </c>
      <c r="C167" s="17">
        <v>0.625</v>
      </c>
      <c r="D167" s="17"/>
      <c r="E167" s="17"/>
      <c r="F167" s="1" t="s">
        <v>163</v>
      </c>
      <c r="G167" s="1" t="s">
        <v>66</v>
      </c>
      <c r="H167" s="4" t="s">
        <v>656</v>
      </c>
      <c r="I167" s="5">
        <v>100000</v>
      </c>
      <c r="J167" s="5"/>
      <c r="K167" s="34" t="b">
        <v>0</v>
      </c>
      <c r="L167" s="35"/>
      <c r="M167" s="36">
        <f>Table4[[#This Row],[Attendance]]*Table4[[#This Row],[TICKET PRICE]]</f>
        <v>0</v>
      </c>
      <c r="N167" s="39"/>
      <c r="O167" s="39"/>
    </row>
    <row r="168" spans="1:15" hidden="1" x14ac:dyDescent="0.25">
      <c r="A168" s="4">
        <v>19</v>
      </c>
      <c r="B168" s="18">
        <v>46403</v>
      </c>
      <c r="C168" s="17">
        <v>0.625</v>
      </c>
      <c r="D168" s="17"/>
      <c r="E168" s="17"/>
      <c r="F168" s="1" t="s">
        <v>566</v>
      </c>
      <c r="G168" s="1" t="s">
        <v>139</v>
      </c>
      <c r="H168" s="4" t="s">
        <v>643</v>
      </c>
      <c r="I168" s="5">
        <v>8000</v>
      </c>
      <c r="J168" s="5"/>
      <c r="K168" s="34" t="b">
        <v>0</v>
      </c>
      <c r="L168" s="35"/>
      <c r="M168" s="36">
        <f>Table4[[#This Row],[Attendance]]*Table4[[#This Row],[TICKET PRICE]]</f>
        <v>0</v>
      </c>
      <c r="N168" s="39"/>
      <c r="O168" s="39"/>
    </row>
    <row r="169" spans="1:15" hidden="1" x14ac:dyDescent="0.25">
      <c r="A169" s="4">
        <v>19</v>
      </c>
      <c r="B169" s="18">
        <v>46403</v>
      </c>
      <c r="C169" s="17">
        <v>0.72916666666666663</v>
      </c>
      <c r="D169" s="17"/>
      <c r="E169" s="17"/>
      <c r="F169" s="1" t="s">
        <v>305</v>
      </c>
      <c r="G169" s="1" t="s">
        <v>350</v>
      </c>
      <c r="H169" s="4" t="s">
        <v>646</v>
      </c>
      <c r="I169" s="5">
        <v>45000</v>
      </c>
      <c r="J169" s="5"/>
      <c r="K169" s="34" t="b">
        <v>0</v>
      </c>
      <c r="L169" s="35"/>
      <c r="M169" s="36">
        <f>Table4[[#This Row],[Attendance]]*Table4[[#This Row],[TICKET PRICE]]</f>
        <v>0</v>
      </c>
      <c r="N169" s="39"/>
      <c r="O169" s="39"/>
    </row>
    <row r="170" spans="1:15" hidden="1" x14ac:dyDescent="0.25">
      <c r="A170" s="4">
        <v>19</v>
      </c>
      <c r="B170" s="18">
        <v>46404</v>
      </c>
      <c r="C170" s="17">
        <v>0.58333333333333337</v>
      </c>
      <c r="D170" s="17"/>
      <c r="E170" s="17"/>
      <c r="F170" s="1" t="s">
        <v>260</v>
      </c>
      <c r="G170" s="1" t="s">
        <v>210</v>
      </c>
      <c r="H170" s="4" t="s">
        <v>655</v>
      </c>
      <c r="I170" s="5">
        <v>40000</v>
      </c>
      <c r="J170" s="5"/>
      <c r="K170" s="34" t="b">
        <v>0</v>
      </c>
      <c r="L170" s="35"/>
      <c r="M170" s="36">
        <f>Table4[[#This Row],[Attendance]]*Table4[[#This Row],[TICKET PRICE]]</f>
        <v>0</v>
      </c>
      <c r="N170" s="39"/>
      <c r="O170" s="39"/>
    </row>
    <row r="171" spans="1:15" hidden="1" x14ac:dyDescent="0.25">
      <c r="A171" s="4">
        <v>19</v>
      </c>
      <c r="B171" s="18">
        <v>46404</v>
      </c>
      <c r="C171" s="17">
        <v>0.58333333333333337</v>
      </c>
      <c r="D171" s="17"/>
      <c r="E171" s="17"/>
      <c r="F171" s="1" t="s">
        <v>327</v>
      </c>
      <c r="G171" s="1" t="s">
        <v>236</v>
      </c>
      <c r="H171" s="4" t="s">
        <v>651</v>
      </c>
      <c r="I171" s="5">
        <v>40000</v>
      </c>
      <c r="J171" s="5"/>
      <c r="K171" s="34" t="b">
        <v>0</v>
      </c>
      <c r="L171" s="35"/>
      <c r="M171" s="36">
        <f>Table4[[#This Row],[Attendance]]*Table4[[#This Row],[TICKET PRICE]]</f>
        <v>0</v>
      </c>
      <c r="N171" s="39"/>
      <c r="O171" s="39"/>
    </row>
    <row r="172" spans="1:15" hidden="1" x14ac:dyDescent="0.25">
      <c r="A172" s="4">
        <v>19</v>
      </c>
      <c r="B172" s="18">
        <v>46404</v>
      </c>
      <c r="C172" s="17">
        <v>0.6875</v>
      </c>
      <c r="D172" s="17"/>
      <c r="E172" s="17"/>
      <c r="F172" s="1" t="s">
        <v>556</v>
      </c>
      <c r="G172" s="1" t="s">
        <v>41</v>
      </c>
      <c r="H172" s="4" t="s">
        <v>642</v>
      </c>
      <c r="I172" s="5">
        <v>29700</v>
      </c>
      <c r="J172" s="5"/>
      <c r="K172" s="34" t="b">
        <v>0</v>
      </c>
      <c r="L172" s="35"/>
      <c r="M172" s="36">
        <f>Table4[[#This Row],[Attendance]]*Table4[[#This Row],[TICKET PRICE]]</f>
        <v>0</v>
      </c>
      <c r="N172" s="39"/>
      <c r="O172" s="39"/>
    </row>
    <row r="173" spans="1:15" hidden="1" x14ac:dyDescent="0.25">
      <c r="A173" s="4">
        <v>20</v>
      </c>
      <c r="B173" s="18">
        <v>46410</v>
      </c>
      <c r="C173" s="17">
        <v>0.52083333333333337</v>
      </c>
      <c r="D173" s="17"/>
      <c r="E173" s="17"/>
      <c r="F173" s="1" t="s">
        <v>66</v>
      </c>
      <c r="G173" s="1" t="s">
        <v>91</v>
      </c>
      <c r="H173" s="4" t="s">
        <v>659</v>
      </c>
      <c r="I173" s="5">
        <v>87000</v>
      </c>
      <c r="J173" s="5"/>
      <c r="K173" s="34" t="b">
        <v>0</v>
      </c>
      <c r="L173" s="35"/>
      <c r="M173" s="36">
        <f>Table4[[#This Row],[Attendance]]*Table4[[#This Row],[TICKET PRICE]]</f>
        <v>0</v>
      </c>
      <c r="N173" s="39"/>
      <c r="O173" s="39"/>
    </row>
    <row r="174" spans="1:15" hidden="1" x14ac:dyDescent="0.25">
      <c r="A174" s="4">
        <v>20</v>
      </c>
      <c r="B174" s="18">
        <v>46410</v>
      </c>
      <c r="C174" s="17">
        <v>0.625</v>
      </c>
      <c r="D174" s="17"/>
      <c r="E174" s="17"/>
      <c r="F174" s="1" t="s">
        <v>566</v>
      </c>
      <c r="G174" s="1" t="s">
        <v>350</v>
      </c>
      <c r="H174" s="4" t="s">
        <v>643</v>
      </c>
      <c r="I174" s="5">
        <v>8000</v>
      </c>
      <c r="J174" s="5"/>
      <c r="K174" s="34" t="b">
        <v>0</v>
      </c>
      <c r="L174" s="35"/>
      <c r="M174" s="36">
        <f>Table4[[#This Row],[Attendance]]*Table4[[#This Row],[TICKET PRICE]]</f>
        <v>0</v>
      </c>
      <c r="N174" s="39"/>
      <c r="O174" s="39"/>
    </row>
    <row r="175" spans="1:15" hidden="1" x14ac:dyDescent="0.25">
      <c r="A175" s="4">
        <v>20</v>
      </c>
      <c r="B175" s="18">
        <v>46410</v>
      </c>
      <c r="C175" s="17">
        <v>0.625</v>
      </c>
      <c r="D175" s="17"/>
      <c r="E175" s="17"/>
      <c r="F175" s="1" t="s">
        <v>260</v>
      </c>
      <c r="G175" s="1" t="s">
        <v>139</v>
      </c>
      <c r="H175" s="4" t="s">
        <v>655</v>
      </c>
      <c r="I175" s="5">
        <v>40000</v>
      </c>
      <c r="J175" s="5"/>
      <c r="K175" s="34" t="b">
        <v>0</v>
      </c>
      <c r="L175" s="35"/>
      <c r="M175" s="36">
        <f>Table4[[#This Row],[Attendance]]*Table4[[#This Row],[TICKET PRICE]]</f>
        <v>0</v>
      </c>
      <c r="N175" s="39"/>
      <c r="O175" s="39"/>
    </row>
    <row r="176" spans="1:15" hidden="1" x14ac:dyDescent="0.25">
      <c r="A176" s="4">
        <v>20</v>
      </c>
      <c r="B176" s="18">
        <v>46410</v>
      </c>
      <c r="C176" s="17">
        <v>0.625</v>
      </c>
      <c r="D176" s="17"/>
      <c r="E176" s="17"/>
      <c r="F176" s="1" t="s">
        <v>557</v>
      </c>
      <c r="G176" s="1" t="s">
        <v>163</v>
      </c>
      <c r="H176" s="4" t="s">
        <v>644</v>
      </c>
      <c r="I176" s="5">
        <v>17000</v>
      </c>
      <c r="J176" s="5"/>
      <c r="K176" s="34" t="b">
        <v>0</v>
      </c>
      <c r="L176" s="35"/>
      <c r="M176" s="36">
        <f>Table4[[#This Row],[Attendance]]*Table4[[#This Row],[TICKET PRICE]]</f>
        <v>0</v>
      </c>
      <c r="N176" s="39"/>
      <c r="O176" s="39"/>
    </row>
    <row r="177" spans="1:15" hidden="1" x14ac:dyDescent="0.25">
      <c r="A177" s="4">
        <v>20</v>
      </c>
      <c r="B177" s="18">
        <v>46410</v>
      </c>
      <c r="C177" s="17">
        <v>0.625</v>
      </c>
      <c r="D177" s="17"/>
      <c r="E177" s="17"/>
      <c r="F177" s="1" t="s">
        <v>210</v>
      </c>
      <c r="G177" s="1" t="s">
        <v>371</v>
      </c>
      <c r="H177" s="4" t="s">
        <v>657</v>
      </c>
      <c r="I177" s="5">
        <v>70000</v>
      </c>
      <c r="J177" s="5"/>
      <c r="K177" s="34" t="b">
        <v>0</v>
      </c>
      <c r="L177" s="35"/>
      <c r="M177" s="36">
        <f>Table4[[#This Row],[Attendance]]*Table4[[#This Row],[TICKET PRICE]]</f>
        <v>0</v>
      </c>
      <c r="N177" s="39"/>
      <c r="O177" s="39"/>
    </row>
    <row r="178" spans="1:15" hidden="1" x14ac:dyDescent="0.25">
      <c r="A178" s="4">
        <v>20</v>
      </c>
      <c r="B178" s="18">
        <v>46410</v>
      </c>
      <c r="C178" s="17">
        <v>0.72916666666666663</v>
      </c>
      <c r="D178" s="17"/>
      <c r="E178" s="17"/>
      <c r="F178" s="1" t="s">
        <v>236</v>
      </c>
      <c r="G178" s="1" t="s">
        <v>305</v>
      </c>
      <c r="H178" s="4" t="s">
        <v>652</v>
      </c>
      <c r="I178" s="5">
        <v>35000</v>
      </c>
      <c r="J178" s="5"/>
      <c r="K178" s="34" t="b">
        <v>0</v>
      </c>
      <c r="L178" s="35"/>
      <c r="M178" s="36">
        <f>Table4[[#This Row],[Attendance]]*Table4[[#This Row],[TICKET PRICE]]</f>
        <v>0</v>
      </c>
      <c r="N178" s="39"/>
      <c r="O178" s="39"/>
    </row>
    <row r="179" spans="1:15" hidden="1" x14ac:dyDescent="0.25">
      <c r="A179" s="4">
        <v>20</v>
      </c>
      <c r="B179" s="18">
        <v>46411</v>
      </c>
      <c r="C179" s="17">
        <v>0.58333333333333337</v>
      </c>
      <c r="D179" s="17"/>
      <c r="E179" s="17"/>
      <c r="F179" s="1" t="s">
        <v>186</v>
      </c>
      <c r="G179" s="1" t="s">
        <v>327</v>
      </c>
      <c r="H179" s="4" t="s">
        <v>647</v>
      </c>
      <c r="I179" s="5">
        <v>80000</v>
      </c>
      <c r="J179" s="5"/>
      <c r="K179" s="34" t="b">
        <v>0</v>
      </c>
      <c r="L179" s="35"/>
      <c r="M179" s="36">
        <f>Table4[[#This Row],[Attendance]]*Table4[[#This Row],[TICKET PRICE]]</f>
        <v>0</v>
      </c>
      <c r="N179" s="39"/>
      <c r="O179" s="39"/>
    </row>
    <row r="180" spans="1:15" hidden="1" x14ac:dyDescent="0.25">
      <c r="A180" s="4">
        <v>20</v>
      </c>
      <c r="B180" s="18">
        <v>46411</v>
      </c>
      <c r="C180" s="17">
        <v>0.58333333333333337</v>
      </c>
      <c r="D180" s="17"/>
      <c r="E180" s="17"/>
      <c r="F180" s="1" t="s">
        <v>41</v>
      </c>
      <c r="G180" s="1" t="s">
        <v>114</v>
      </c>
      <c r="H180" s="4" t="s">
        <v>660</v>
      </c>
      <c r="I180" s="5">
        <v>70000</v>
      </c>
      <c r="J180" s="5"/>
      <c r="K180" s="34" t="b">
        <v>0</v>
      </c>
      <c r="L180" s="35"/>
      <c r="M180" s="36">
        <f>Table4[[#This Row],[Attendance]]*Table4[[#This Row],[TICKET PRICE]]</f>
        <v>0</v>
      </c>
      <c r="N180" s="39"/>
      <c r="O180" s="39"/>
    </row>
    <row r="181" spans="1:15" hidden="1" x14ac:dyDescent="0.25">
      <c r="A181" s="4">
        <v>20</v>
      </c>
      <c r="B181" s="18">
        <v>46411</v>
      </c>
      <c r="C181" s="17">
        <v>0.6875</v>
      </c>
      <c r="D181" s="17"/>
      <c r="E181" s="17"/>
      <c r="F181" s="1" t="s">
        <v>556</v>
      </c>
      <c r="G181" s="1" t="s">
        <v>283</v>
      </c>
      <c r="H181" s="4" t="s">
        <v>642</v>
      </c>
      <c r="I181" s="5">
        <v>29700</v>
      </c>
      <c r="J181" s="5"/>
      <c r="K181" s="34" t="b">
        <v>0</v>
      </c>
      <c r="L181" s="35"/>
      <c r="M181" s="36">
        <f>Table4[[#This Row],[Attendance]]*Table4[[#This Row],[TICKET PRICE]]</f>
        <v>0</v>
      </c>
      <c r="N181" s="39"/>
      <c r="O181" s="39"/>
    </row>
    <row r="182" spans="1:15" hidden="1" x14ac:dyDescent="0.25">
      <c r="A182" s="4">
        <v>21</v>
      </c>
      <c r="B182" s="18">
        <v>46424</v>
      </c>
      <c r="C182" s="17">
        <v>0.52083333333333337</v>
      </c>
      <c r="D182" s="17"/>
      <c r="E182" s="17"/>
      <c r="F182" s="1" t="s">
        <v>210</v>
      </c>
      <c r="G182" s="1" t="s">
        <v>163</v>
      </c>
      <c r="H182" s="4" t="s">
        <v>657</v>
      </c>
      <c r="I182" s="5">
        <v>70000</v>
      </c>
      <c r="J182" s="5"/>
      <c r="K182" s="34" t="b">
        <v>0</v>
      </c>
      <c r="L182" s="35"/>
      <c r="M182" s="36">
        <f>Table4[[#This Row],[Attendance]]*Table4[[#This Row],[TICKET PRICE]]</f>
        <v>0</v>
      </c>
      <c r="N182" s="39"/>
      <c r="O182" s="39"/>
    </row>
    <row r="183" spans="1:15" hidden="1" x14ac:dyDescent="0.25">
      <c r="A183" s="4">
        <v>21</v>
      </c>
      <c r="B183" s="18">
        <v>46424</v>
      </c>
      <c r="C183" s="17">
        <v>0.625</v>
      </c>
      <c r="D183" s="17"/>
      <c r="E183" s="17"/>
      <c r="F183" s="1" t="s">
        <v>91</v>
      </c>
      <c r="G183" s="1" t="s">
        <v>557</v>
      </c>
      <c r="H183" s="4" t="s">
        <v>658</v>
      </c>
      <c r="I183" s="5">
        <v>87000</v>
      </c>
      <c r="J183" s="5"/>
      <c r="K183" s="34" t="b">
        <v>0</v>
      </c>
      <c r="L183" s="35"/>
      <c r="M183" s="36">
        <f>Table4[[#This Row],[Attendance]]*Table4[[#This Row],[TICKET PRICE]]</f>
        <v>0</v>
      </c>
      <c r="N183" s="39"/>
      <c r="O183" s="39"/>
    </row>
    <row r="184" spans="1:15" hidden="1" x14ac:dyDescent="0.25">
      <c r="A184" s="4">
        <v>21</v>
      </c>
      <c r="B184" s="18">
        <v>46424</v>
      </c>
      <c r="C184" s="17">
        <v>0.625</v>
      </c>
      <c r="D184" s="17"/>
      <c r="E184" s="17"/>
      <c r="F184" s="1" t="s">
        <v>114</v>
      </c>
      <c r="G184" s="1" t="s">
        <v>66</v>
      </c>
      <c r="H184" s="4" t="s">
        <v>645</v>
      </c>
      <c r="I184" s="5">
        <v>45000</v>
      </c>
      <c r="J184" s="5"/>
      <c r="K184" s="34" t="b">
        <v>0</v>
      </c>
      <c r="L184" s="35"/>
      <c r="M184" s="36">
        <f>Table4[[#This Row],[Attendance]]*Table4[[#This Row],[TICKET PRICE]]</f>
        <v>0</v>
      </c>
      <c r="N184" s="39"/>
      <c r="O184" s="39"/>
    </row>
    <row r="185" spans="1:15" hidden="1" x14ac:dyDescent="0.25">
      <c r="A185" s="4">
        <v>21</v>
      </c>
      <c r="B185" s="18">
        <v>46424</v>
      </c>
      <c r="C185" s="17">
        <v>0.625</v>
      </c>
      <c r="D185" s="17"/>
      <c r="E185" s="17"/>
      <c r="F185" s="1" t="s">
        <v>305</v>
      </c>
      <c r="G185" s="1" t="s">
        <v>186</v>
      </c>
      <c r="H185" s="4" t="s">
        <v>646</v>
      </c>
      <c r="I185" s="5">
        <v>45000</v>
      </c>
      <c r="J185" s="5"/>
      <c r="K185" s="34" t="b">
        <v>0</v>
      </c>
      <c r="L185" s="35"/>
      <c r="M185" s="36">
        <f>Table4[[#This Row],[Attendance]]*Table4[[#This Row],[TICKET PRICE]]</f>
        <v>0</v>
      </c>
      <c r="N185" s="39"/>
      <c r="O185" s="39"/>
    </row>
    <row r="186" spans="1:15" hidden="1" x14ac:dyDescent="0.25">
      <c r="A186" s="4">
        <v>21</v>
      </c>
      <c r="B186" s="18">
        <v>46424</v>
      </c>
      <c r="C186" s="17">
        <v>0.625</v>
      </c>
      <c r="D186" s="17"/>
      <c r="E186" s="17"/>
      <c r="F186" s="1" t="s">
        <v>139</v>
      </c>
      <c r="G186" s="1" t="s">
        <v>371</v>
      </c>
      <c r="H186" s="4" t="s">
        <v>653</v>
      </c>
      <c r="I186" s="5">
        <v>65000</v>
      </c>
      <c r="J186" s="5"/>
      <c r="K186" s="34" t="b">
        <v>0</v>
      </c>
      <c r="L186" s="35"/>
      <c r="M186" s="36">
        <f>Table4[[#This Row],[Attendance]]*Table4[[#This Row],[TICKET PRICE]]</f>
        <v>0</v>
      </c>
      <c r="N186" s="39"/>
      <c r="O186" s="39"/>
    </row>
    <row r="187" spans="1:15" hidden="1" x14ac:dyDescent="0.25">
      <c r="A187" s="4">
        <v>21</v>
      </c>
      <c r="B187" s="18">
        <v>46424</v>
      </c>
      <c r="C187" s="17">
        <v>0.72916666666666663</v>
      </c>
      <c r="D187" s="17"/>
      <c r="E187" s="17"/>
      <c r="F187" s="1" t="s">
        <v>283</v>
      </c>
      <c r="G187" s="1" t="s">
        <v>41</v>
      </c>
      <c r="H187" s="4" t="s">
        <v>650</v>
      </c>
      <c r="I187" s="5">
        <v>55000</v>
      </c>
      <c r="J187" s="5"/>
      <c r="K187" s="34" t="b">
        <v>0</v>
      </c>
      <c r="L187" s="35"/>
      <c r="M187" s="36">
        <f>Table4[[#This Row],[Attendance]]*Table4[[#This Row],[TICKET PRICE]]</f>
        <v>0</v>
      </c>
      <c r="N187" s="39"/>
      <c r="O187" s="39"/>
    </row>
    <row r="188" spans="1:15" hidden="1" x14ac:dyDescent="0.25">
      <c r="A188" s="4">
        <v>21</v>
      </c>
      <c r="B188" s="18">
        <v>46425</v>
      </c>
      <c r="C188" s="17">
        <v>0.58333333333333337</v>
      </c>
      <c r="D188" s="17"/>
      <c r="E188" s="17"/>
      <c r="F188" s="1" t="s">
        <v>236</v>
      </c>
      <c r="G188" s="1" t="s">
        <v>566</v>
      </c>
      <c r="H188" s="4" t="s">
        <v>652</v>
      </c>
      <c r="I188" s="5">
        <v>35000</v>
      </c>
      <c r="J188" s="5"/>
      <c r="K188" s="34" t="b">
        <v>0</v>
      </c>
      <c r="L188" s="35"/>
      <c r="M188" s="36">
        <f>Table4[[#This Row],[Attendance]]*Table4[[#This Row],[TICKET PRICE]]</f>
        <v>0</v>
      </c>
      <c r="N188" s="39"/>
      <c r="O188" s="39"/>
    </row>
    <row r="189" spans="1:15" hidden="1" x14ac:dyDescent="0.25">
      <c r="A189" s="4">
        <v>21</v>
      </c>
      <c r="B189" s="18">
        <v>46425</v>
      </c>
      <c r="C189" s="17">
        <v>0.58333333333333337</v>
      </c>
      <c r="D189" s="17"/>
      <c r="E189" s="17"/>
      <c r="F189" s="1" t="s">
        <v>350</v>
      </c>
      <c r="G189" s="1" t="s">
        <v>260</v>
      </c>
      <c r="H189" s="4" t="s">
        <v>648</v>
      </c>
      <c r="I189" s="5">
        <v>23000</v>
      </c>
      <c r="J189" s="5"/>
      <c r="K189" s="34" t="b">
        <v>0</v>
      </c>
      <c r="L189" s="35"/>
      <c r="M189" s="36">
        <f>Table4[[#This Row],[Attendance]]*Table4[[#This Row],[TICKET PRICE]]</f>
        <v>0</v>
      </c>
      <c r="N189" s="39"/>
      <c r="O189" s="39"/>
    </row>
    <row r="190" spans="1:15" hidden="1" x14ac:dyDescent="0.25">
      <c r="A190" s="4">
        <v>21</v>
      </c>
      <c r="B190" s="18">
        <v>46425</v>
      </c>
      <c r="C190" s="17">
        <v>0.6875</v>
      </c>
      <c r="D190" s="17"/>
      <c r="E190" s="17"/>
      <c r="F190" s="1" t="s">
        <v>327</v>
      </c>
      <c r="G190" s="1" t="s">
        <v>556</v>
      </c>
      <c r="H190" s="4" t="s">
        <v>651</v>
      </c>
      <c r="I190" s="5">
        <v>40000</v>
      </c>
      <c r="J190" s="5"/>
      <c r="K190" s="34" t="b">
        <v>0</v>
      </c>
      <c r="L190" s="35"/>
      <c r="M190" s="36">
        <f>Table4[[#This Row],[Attendance]]*Table4[[#This Row],[TICKET PRICE]]</f>
        <v>0</v>
      </c>
      <c r="N190" s="39"/>
      <c r="O190" s="39"/>
    </row>
    <row r="191" spans="1:15" hidden="1" x14ac:dyDescent="0.25">
      <c r="A191" s="4">
        <v>22</v>
      </c>
      <c r="B191" s="18">
        <v>46431</v>
      </c>
      <c r="C191" s="17">
        <v>0.52083333333333337</v>
      </c>
      <c r="D191" s="17"/>
      <c r="E191" s="17"/>
      <c r="F191" s="1" t="s">
        <v>66</v>
      </c>
      <c r="G191" s="1" t="s">
        <v>41</v>
      </c>
      <c r="H191" s="4" t="s">
        <v>659</v>
      </c>
      <c r="I191" s="5">
        <v>87000</v>
      </c>
      <c r="J191" s="5"/>
      <c r="K191" s="34" t="b">
        <v>0</v>
      </c>
      <c r="L191" s="35"/>
      <c r="M191" s="36">
        <f>Table4[[#This Row],[Attendance]]*Table4[[#This Row],[TICKET PRICE]]</f>
        <v>0</v>
      </c>
      <c r="N191" s="39"/>
      <c r="O191" s="39"/>
    </row>
    <row r="192" spans="1:15" hidden="1" x14ac:dyDescent="0.25">
      <c r="A192" s="4">
        <v>22</v>
      </c>
      <c r="B192" s="18">
        <v>46431</v>
      </c>
      <c r="C192" s="17">
        <v>0.625</v>
      </c>
      <c r="D192" s="17"/>
      <c r="E192" s="17"/>
      <c r="F192" s="1" t="s">
        <v>283</v>
      </c>
      <c r="G192" s="1" t="s">
        <v>327</v>
      </c>
      <c r="H192" s="4" t="s">
        <v>650</v>
      </c>
      <c r="I192" s="5">
        <v>55000</v>
      </c>
      <c r="J192" s="5"/>
      <c r="K192" s="34" t="b">
        <v>0</v>
      </c>
      <c r="L192" s="35"/>
      <c r="M192" s="36">
        <f>Table4[[#This Row],[Attendance]]*Table4[[#This Row],[TICKET PRICE]]</f>
        <v>0</v>
      </c>
      <c r="N192" s="39"/>
      <c r="O192" s="39"/>
    </row>
    <row r="193" spans="1:15" hidden="1" x14ac:dyDescent="0.25">
      <c r="A193" s="4">
        <v>22</v>
      </c>
      <c r="B193" s="18">
        <v>46431</v>
      </c>
      <c r="C193" s="17">
        <v>0.625</v>
      </c>
      <c r="D193" s="17"/>
      <c r="E193" s="17"/>
      <c r="F193" s="1" t="s">
        <v>556</v>
      </c>
      <c r="G193" s="1" t="s">
        <v>305</v>
      </c>
      <c r="H193" s="4" t="s">
        <v>642</v>
      </c>
      <c r="I193" s="5">
        <v>29700</v>
      </c>
      <c r="J193" s="5"/>
      <c r="K193" s="34" t="b">
        <v>0</v>
      </c>
      <c r="L193" s="35"/>
      <c r="M193" s="36">
        <f>Table4[[#This Row],[Attendance]]*Table4[[#This Row],[TICKET PRICE]]</f>
        <v>0</v>
      </c>
      <c r="N193" s="39"/>
      <c r="O193" s="39"/>
    </row>
    <row r="194" spans="1:15" hidden="1" x14ac:dyDescent="0.25">
      <c r="A194" s="4">
        <v>22</v>
      </c>
      <c r="B194" s="18">
        <v>46431</v>
      </c>
      <c r="C194" s="17">
        <v>0.625</v>
      </c>
      <c r="D194" s="17"/>
      <c r="E194" s="17"/>
      <c r="F194" s="1" t="s">
        <v>163</v>
      </c>
      <c r="G194" s="1" t="s">
        <v>139</v>
      </c>
      <c r="H194" s="4" t="s">
        <v>656</v>
      </c>
      <c r="I194" s="5">
        <v>100000</v>
      </c>
      <c r="J194" s="5"/>
      <c r="K194" s="34" t="b">
        <v>0</v>
      </c>
      <c r="L194" s="35"/>
      <c r="M194" s="36">
        <f>Table4[[#This Row],[Attendance]]*Table4[[#This Row],[TICKET PRICE]]</f>
        <v>0</v>
      </c>
      <c r="N194" s="39"/>
      <c r="O194" s="39"/>
    </row>
    <row r="195" spans="1:15" hidden="1" x14ac:dyDescent="0.25">
      <c r="A195" s="4">
        <v>22</v>
      </c>
      <c r="B195" s="18">
        <v>46431</v>
      </c>
      <c r="C195" s="17">
        <v>0.625</v>
      </c>
      <c r="D195" s="17"/>
      <c r="E195" s="17"/>
      <c r="F195" s="1" t="s">
        <v>371</v>
      </c>
      <c r="G195" s="1" t="s">
        <v>350</v>
      </c>
      <c r="H195" s="4" t="s">
        <v>654</v>
      </c>
      <c r="I195" s="5">
        <v>36000</v>
      </c>
      <c r="J195" s="5"/>
      <c r="K195" s="34" t="b">
        <v>0</v>
      </c>
      <c r="L195" s="35"/>
      <c r="M195" s="36">
        <f>Table4[[#This Row],[Attendance]]*Table4[[#This Row],[TICKET PRICE]]</f>
        <v>0</v>
      </c>
      <c r="N195" s="39"/>
      <c r="O195" s="39"/>
    </row>
    <row r="196" spans="1:15" hidden="1" x14ac:dyDescent="0.25">
      <c r="A196" s="4">
        <v>22</v>
      </c>
      <c r="B196" s="18">
        <v>46431</v>
      </c>
      <c r="C196" s="17">
        <v>0.72916666666666663</v>
      </c>
      <c r="D196" s="17"/>
      <c r="E196" s="17"/>
      <c r="F196" s="1" t="s">
        <v>260</v>
      </c>
      <c r="G196" s="1" t="s">
        <v>236</v>
      </c>
      <c r="H196" s="4" t="s">
        <v>655</v>
      </c>
      <c r="I196" s="5">
        <v>40000</v>
      </c>
      <c r="J196" s="5"/>
      <c r="K196" s="34" t="b">
        <v>0</v>
      </c>
      <c r="L196" s="35"/>
      <c r="M196" s="36">
        <f>Table4[[#This Row],[Attendance]]*Table4[[#This Row],[TICKET PRICE]]</f>
        <v>0</v>
      </c>
      <c r="N196" s="39"/>
      <c r="O196" s="39"/>
    </row>
    <row r="197" spans="1:15" hidden="1" x14ac:dyDescent="0.25">
      <c r="A197" s="4">
        <v>22</v>
      </c>
      <c r="B197" s="18">
        <v>46432</v>
      </c>
      <c r="C197" s="17">
        <v>0.58333333333333337</v>
      </c>
      <c r="D197" s="17"/>
      <c r="E197" s="17"/>
      <c r="F197" s="1" t="s">
        <v>186</v>
      </c>
      <c r="G197" s="1" t="s">
        <v>566</v>
      </c>
      <c r="H197" s="4" t="s">
        <v>647</v>
      </c>
      <c r="I197" s="5">
        <v>80000</v>
      </c>
      <c r="J197" s="5"/>
      <c r="K197" s="34" t="b">
        <v>0</v>
      </c>
      <c r="L197" s="35"/>
      <c r="M197" s="36">
        <f>Table4[[#This Row],[Attendance]]*Table4[[#This Row],[TICKET PRICE]]</f>
        <v>0</v>
      </c>
      <c r="N197" s="39"/>
      <c r="O197" s="39"/>
    </row>
    <row r="198" spans="1:15" hidden="1" x14ac:dyDescent="0.25">
      <c r="A198" s="4">
        <v>22</v>
      </c>
      <c r="B198" s="18">
        <v>46432</v>
      </c>
      <c r="C198" s="17">
        <v>0.58333333333333337</v>
      </c>
      <c r="D198" s="17"/>
      <c r="E198" s="17"/>
      <c r="F198" s="1" t="s">
        <v>557</v>
      </c>
      <c r="G198" s="1" t="s">
        <v>114</v>
      </c>
      <c r="H198" s="4" t="s">
        <v>644</v>
      </c>
      <c r="I198" s="5">
        <v>17000</v>
      </c>
      <c r="J198" s="5"/>
      <c r="K198" s="34" t="b">
        <v>0</v>
      </c>
      <c r="L198" s="35"/>
      <c r="M198" s="36">
        <f>Table4[[#This Row],[Attendance]]*Table4[[#This Row],[TICKET PRICE]]</f>
        <v>0</v>
      </c>
      <c r="N198" s="39"/>
      <c r="O198" s="39"/>
    </row>
    <row r="199" spans="1:15" hidden="1" x14ac:dyDescent="0.25">
      <c r="A199" s="4">
        <v>22</v>
      </c>
      <c r="B199" s="18">
        <v>46432</v>
      </c>
      <c r="C199" s="17">
        <v>0.6875</v>
      </c>
      <c r="D199" s="17"/>
      <c r="E199" s="17"/>
      <c r="F199" s="1" t="s">
        <v>91</v>
      </c>
      <c r="G199" s="1" t="s">
        <v>210</v>
      </c>
      <c r="H199" s="4" t="s">
        <v>658</v>
      </c>
      <c r="I199" s="5">
        <v>87000</v>
      </c>
      <c r="J199" s="5"/>
      <c r="K199" s="34" t="b">
        <v>0</v>
      </c>
      <c r="L199" s="35"/>
      <c r="M199" s="36">
        <f>Table4[[#This Row],[Attendance]]*Table4[[#This Row],[TICKET PRICE]]</f>
        <v>0</v>
      </c>
      <c r="N199" s="39"/>
      <c r="O199" s="39"/>
    </row>
    <row r="200" spans="1:15" hidden="1" x14ac:dyDescent="0.25">
      <c r="A200" s="4">
        <v>23</v>
      </c>
      <c r="B200" s="18">
        <v>46438</v>
      </c>
      <c r="C200" s="17">
        <v>0.52083333333333337</v>
      </c>
      <c r="D200" s="17"/>
      <c r="E200" s="17"/>
      <c r="F200" s="1" t="s">
        <v>350</v>
      </c>
      <c r="G200" s="1" t="s">
        <v>163</v>
      </c>
      <c r="H200" s="4" t="s">
        <v>648</v>
      </c>
      <c r="I200" s="5">
        <v>23000</v>
      </c>
      <c r="J200" s="5"/>
      <c r="K200" s="34" t="b">
        <v>0</v>
      </c>
      <c r="L200" s="35"/>
      <c r="M200" s="36">
        <f>Table4[[#This Row],[Attendance]]*Table4[[#This Row],[TICKET PRICE]]</f>
        <v>0</v>
      </c>
      <c r="N200" s="39"/>
      <c r="O200" s="39"/>
    </row>
    <row r="201" spans="1:15" hidden="1" x14ac:dyDescent="0.25">
      <c r="A201" s="4">
        <v>23</v>
      </c>
      <c r="B201" s="18">
        <v>46438</v>
      </c>
      <c r="C201" s="17">
        <v>0.625</v>
      </c>
      <c r="D201" s="17"/>
      <c r="E201" s="17"/>
      <c r="F201" s="1" t="s">
        <v>139</v>
      </c>
      <c r="G201" s="1" t="s">
        <v>91</v>
      </c>
      <c r="H201" s="4" t="s">
        <v>653</v>
      </c>
      <c r="I201" s="5">
        <v>65000</v>
      </c>
      <c r="J201" s="5"/>
      <c r="K201" s="34" t="b">
        <v>0</v>
      </c>
      <c r="L201" s="35"/>
      <c r="M201" s="36">
        <f>Table4[[#This Row],[Attendance]]*Table4[[#This Row],[TICKET PRICE]]</f>
        <v>0</v>
      </c>
      <c r="N201" s="39"/>
      <c r="O201" s="39"/>
    </row>
    <row r="202" spans="1:15" hidden="1" x14ac:dyDescent="0.25">
      <c r="A202" s="4">
        <v>23</v>
      </c>
      <c r="B202" s="18">
        <v>46438</v>
      </c>
      <c r="C202" s="17">
        <v>0.625</v>
      </c>
      <c r="D202" s="17"/>
      <c r="E202" s="17"/>
      <c r="F202" s="1" t="s">
        <v>186</v>
      </c>
      <c r="G202" s="1" t="s">
        <v>260</v>
      </c>
      <c r="H202" s="4" t="s">
        <v>647</v>
      </c>
      <c r="I202" s="5">
        <v>80000</v>
      </c>
      <c r="J202" s="5"/>
      <c r="K202" s="34" t="b">
        <v>0</v>
      </c>
      <c r="L202" s="35"/>
      <c r="M202" s="36">
        <f>Table4[[#This Row],[Attendance]]*Table4[[#This Row],[TICKET PRICE]]</f>
        <v>0</v>
      </c>
      <c r="N202" s="39"/>
      <c r="O202" s="39"/>
    </row>
    <row r="203" spans="1:15" hidden="1" x14ac:dyDescent="0.25">
      <c r="A203" s="4">
        <v>23</v>
      </c>
      <c r="B203" s="18">
        <v>46438</v>
      </c>
      <c r="C203" s="17">
        <v>0.625</v>
      </c>
      <c r="D203" s="17"/>
      <c r="E203" s="17"/>
      <c r="F203" s="1" t="s">
        <v>114</v>
      </c>
      <c r="G203" s="1" t="s">
        <v>210</v>
      </c>
      <c r="H203" s="4" t="s">
        <v>645</v>
      </c>
      <c r="I203" s="5">
        <v>45000</v>
      </c>
      <c r="J203" s="5"/>
      <c r="K203" s="34" t="b">
        <v>0</v>
      </c>
      <c r="L203" s="35"/>
      <c r="M203" s="36">
        <f>Table4[[#This Row],[Attendance]]*Table4[[#This Row],[TICKET PRICE]]</f>
        <v>0</v>
      </c>
      <c r="N203" s="39"/>
      <c r="O203" s="39"/>
    </row>
    <row r="204" spans="1:15" hidden="1" x14ac:dyDescent="0.25">
      <c r="A204" s="4">
        <v>23</v>
      </c>
      <c r="B204" s="18">
        <v>46438</v>
      </c>
      <c r="C204" s="17">
        <v>0.625</v>
      </c>
      <c r="D204" s="17"/>
      <c r="E204" s="17"/>
      <c r="F204" s="1" t="s">
        <v>66</v>
      </c>
      <c r="G204" s="1" t="s">
        <v>557</v>
      </c>
      <c r="H204" s="4" t="s">
        <v>659</v>
      </c>
      <c r="I204" s="5">
        <v>87000</v>
      </c>
      <c r="J204" s="5"/>
      <c r="K204" s="34" t="b">
        <v>0</v>
      </c>
      <c r="L204" s="35"/>
      <c r="M204" s="36">
        <f>Table4[[#This Row],[Attendance]]*Table4[[#This Row],[TICKET PRICE]]</f>
        <v>0</v>
      </c>
      <c r="N204" s="39"/>
      <c r="O204" s="39"/>
    </row>
    <row r="205" spans="1:15" hidden="1" x14ac:dyDescent="0.25">
      <c r="A205" s="4">
        <v>23</v>
      </c>
      <c r="B205" s="18">
        <v>46438</v>
      </c>
      <c r="C205" s="17">
        <v>0.72916666666666663</v>
      </c>
      <c r="D205" s="17"/>
      <c r="E205" s="17"/>
      <c r="F205" s="1" t="s">
        <v>41</v>
      </c>
      <c r="G205" s="1" t="s">
        <v>327</v>
      </c>
      <c r="H205" s="4" t="s">
        <v>660</v>
      </c>
      <c r="I205" s="5">
        <v>70000</v>
      </c>
      <c r="J205" s="5"/>
      <c r="K205" s="34" t="b">
        <v>0</v>
      </c>
      <c r="L205" s="35"/>
      <c r="M205" s="36">
        <f>Table4[[#This Row],[Attendance]]*Table4[[#This Row],[TICKET PRICE]]</f>
        <v>0</v>
      </c>
      <c r="N205" s="39"/>
      <c r="O205" s="39"/>
    </row>
    <row r="206" spans="1:15" hidden="1" x14ac:dyDescent="0.25">
      <c r="A206" s="4">
        <v>23</v>
      </c>
      <c r="B206" s="18">
        <v>46439</v>
      </c>
      <c r="C206" s="17">
        <v>0.58333333333333337</v>
      </c>
      <c r="D206" s="17"/>
      <c r="E206" s="17"/>
      <c r="F206" s="1" t="s">
        <v>236</v>
      </c>
      <c r="G206" s="1" t="s">
        <v>371</v>
      </c>
      <c r="H206" s="4" t="s">
        <v>652</v>
      </c>
      <c r="I206" s="5">
        <v>35000</v>
      </c>
      <c r="J206" s="5"/>
      <c r="K206" s="34" t="b">
        <v>0</v>
      </c>
      <c r="L206" s="35"/>
      <c r="M206" s="36">
        <f>Table4[[#This Row],[Attendance]]*Table4[[#This Row],[TICKET PRICE]]</f>
        <v>0</v>
      </c>
      <c r="N206" s="39"/>
      <c r="O206" s="39"/>
    </row>
    <row r="207" spans="1:15" hidden="1" x14ac:dyDescent="0.25">
      <c r="A207" s="4">
        <v>23</v>
      </c>
      <c r="B207" s="18">
        <v>46439</v>
      </c>
      <c r="C207" s="17">
        <v>0.58333333333333337</v>
      </c>
      <c r="D207" s="17"/>
      <c r="E207" s="17"/>
      <c r="F207" s="1" t="s">
        <v>566</v>
      </c>
      <c r="G207" s="1" t="s">
        <v>556</v>
      </c>
      <c r="H207" s="4" t="s">
        <v>643</v>
      </c>
      <c r="I207" s="5">
        <v>8000</v>
      </c>
      <c r="J207" s="5"/>
      <c r="K207" s="34" t="b">
        <v>0</v>
      </c>
      <c r="L207" s="35"/>
      <c r="M207" s="36">
        <f>Table4[[#This Row],[Attendance]]*Table4[[#This Row],[TICKET PRICE]]</f>
        <v>0</v>
      </c>
      <c r="N207" s="39"/>
      <c r="O207" s="39"/>
    </row>
    <row r="208" spans="1:15" hidden="1" x14ac:dyDescent="0.25">
      <c r="A208" s="4">
        <v>23</v>
      </c>
      <c r="B208" s="18">
        <v>46439</v>
      </c>
      <c r="C208" s="17">
        <v>0.6875</v>
      </c>
      <c r="D208" s="17"/>
      <c r="E208" s="17"/>
      <c r="F208" s="1" t="s">
        <v>305</v>
      </c>
      <c r="G208" s="1" t="s">
        <v>283</v>
      </c>
      <c r="H208" s="4" t="s">
        <v>646</v>
      </c>
      <c r="I208" s="5">
        <v>45000</v>
      </c>
      <c r="J208" s="5"/>
      <c r="K208" s="34" t="b">
        <v>0</v>
      </c>
      <c r="L208" s="35"/>
      <c r="M208" s="36">
        <f>Table4[[#This Row],[Attendance]]*Table4[[#This Row],[TICKET PRICE]]</f>
        <v>0</v>
      </c>
      <c r="N208" s="39"/>
      <c r="O208" s="39"/>
    </row>
    <row r="209" spans="1:15" hidden="1" x14ac:dyDescent="0.25">
      <c r="A209" s="4">
        <v>24</v>
      </c>
      <c r="B209" s="18">
        <v>46445</v>
      </c>
      <c r="C209" s="17">
        <v>0.52083333333333337</v>
      </c>
      <c r="D209" s="17"/>
      <c r="E209" s="17"/>
      <c r="F209" s="1" t="s">
        <v>556</v>
      </c>
      <c r="G209" s="1" t="s">
        <v>260</v>
      </c>
      <c r="H209" s="4" t="s">
        <v>642</v>
      </c>
      <c r="I209" s="5">
        <v>29700</v>
      </c>
      <c r="J209" s="5"/>
      <c r="K209" s="34" t="b">
        <v>0</v>
      </c>
      <c r="L209" s="35"/>
      <c r="M209" s="36">
        <f>Table4[[#This Row],[Attendance]]*Table4[[#This Row],[TICKET PRICE]]</f>
        <v>0</v>
      </c>
      <c r="N209" s="39"/>
      <c r="O209" s="39"/>
    </row>
    <row r="210" spans="1:15" hidden="1" x14ac:dyDescent="0.25">
      <c r="A210" s="4">
        <v>24</v>
      </c>
      <c r="B210" s="18">
        <v>46445</v>
      </c>
      <c r="C210" s="17">
        <v>0.625</v>
      </c>
      <c r="D210" s="17"/>
      <c r="E210" s="17"/>
      <c r="F210" s="1" t="s">
        <v>163</v>
      </c>
      <c r="G210" s="1" t="s">
        <v>236</v>
      </c>
      <c r="H210" s="4" t="s">
        <v>656</v>
      </c>
      <c r="I210" s="5">
        <v>100000</v>
      </c>
      <c r="J210" s="5"/>
      <c r="K210" s="34" t="b">
        <v>0</v>
      </c>
      <c r="L210" s="35"/>
      <c r="M210" s="36">
        <f>Table4[[#This Row],[Attendance]]*Table4[[#This Row],[TICKET PRICE]]</f>
        <v>0</v>
      </c>
      <c r="N210" s="39"/>
      <c r="O210" s="39"/>
    </row>
    <row r="211" spans="1:15" hidden="1" x14ac:dyDescent="0.25">
      <c r="A211" s="4">
        <v>24</v>
      </c>
      <c r="B211" s="18">
        <v>46445</v>
      </c>
      <c r="C211" s="17">
        <v>0.625</v>
      </c>
      <c r="D211" s="17"/>
      <c r="E211" s="17"/>
      <c r="F211" s="1" t="s">
        <v>283</v>
      </c>
      <c r="G211" s="1" t="s">
        <v>566</v>
      </c>
      <c r="H211" s="4" t="s">
        <v>650</v>
      </c>
      <c r="I211" s="5">
        <v>55000</v>
      </c>
      <c r="J211" s="5"/>
      <c r="K211" s="34" t="b">
        <v>0</v>
      </c>
      <c r="L211" s="35"/>
      <c r="M211" s="36">
        <f>Table4[[#This Row],[Attendance]]*Table4[[#This Row],[TICKET PRICE]]</f>
        <v>0</v>
      </c>
      <c r="N211" s="39"/>
      <c r="O211" s="39"/>
    </row>
    <row r="212" spans="1:15" hidden="1" x14ac:dyDescent="0.25">
      <c r="A212" s="4">
        <v>24</v>
      </c>
      <c r="B212" s="18">
        <v>46445</v>
      </c>
      <c r="C212" s="17">
        <v>0.625</v>
      </c>
      <c r="D212" s="17"/>
      <c r="E212" s="17"/>
      <c r="F212" s="1" t="s">
        <v>327</v>
      </c>
      <c r="G212" s="1" t="s">
        <v>305</v>
      </c>
      <c r="H212" s="4" t="s">
        <v>651</v>
      </c>
      <c r="I212" s="5">
        <v>40000</v>
      </c>
      <c r="J212" s="5"/>
      <c r="K212" s="34" t="b">
        <v>0</v>
      </c>
      <c r="L212" s="35"/>
      <c r="M212" s="36">
        <f>Table4[[#This Row],[Attendance]]*Table4[[#This Row],[TICKET PRICE]]</f>
        <v>0</v>
      </c>
      <c r="N212" s="39"/>
      <c r="O212" s="39"/>
    </row>
    <row r="213" spans="1:15" hidden="1" x14ac:dyDescent="0.25">
      <c r="A213" s="4">
        <v>24</v>
      </c>
      <c r="B213" s="18">
        <v>46445</v>
      </c>
      <c r="C213" s="17">
        <v>0.625</v>
      </c>
      <c r="D213" s="17"/>
      <c r="E213" s="17"/>
      <c r="F213" s="1" t="s">
        <v>371</v>
      </c>
      <c r="G213" s="1" t="s">
        <v>186</v>
      </c>
      <c r="H213" s="4" t="s">
        <v>654</v>
      </c>
      <c r="I213" s="5">
        <v>36000</v>
      </c>
      <c r="J213" s="5"/>
      <c r="K213" s="34" t="b">
        <v>0</v>
      </c>
      <c r="L213" s="35"/>
      <c r="M213" s="36">
        <f>Table4[[#This Row],[Attendance]]*Table4[[#This Row],[TICKET PRICE]]</f>
        <v>0</v>
      </c>
      <c r="N213" s="39"/>
      <c r="O213" s="39"/>
    </row>
    <row r="214" spans="1:15" hidden="1" x14ac:dyDescent="0.25">
      <c r="A214" s="4">
        <v>24</v>
      </c>
      <c r="B214" s="18">
        <v>46445</v>
      </c>
      <c r="C214" s="17">
        <v>0.72916666666666663</v>
      </c>
      <c r="D214" s="17"/>
      <c r="E214" s="17"/>
      <c r="F214" s="1" t="s">
        <v>139</v>
      </c>
      <c r="G214" s="1" t="s">
        <v>114</v>
      </c>
      <c r="H214" s="4" t="s">
        <v>653</v>
      </c>
      <c r="I214" s="5">
        <v>65000</v>
      </c>
      <c r="J214" s="5"/>
      <c r="K214" s="34" t="b">
        <v>0</v>
      </c>
      <c r="L214" s="35"/>
      <c r="M214" s="36">
        <f>Table4[[#This Row],[Attendance]]*Table4[[#This Row],[TICKET PRICE]]</f>
        <v>0</v>
      </c>
      <c r="N214" s="39"/>
      <c r="O214" s="39"/>
    </row>
    <row r="215" spans="1:15" hidden="1" x14ac:dyDescent="0.25">
      <c r="A215" s="4">
        <v>24</v>
      </c>
      <c r="B215" s="18">
        <v>46446</v>
      </c>
      <c r="C215" s="17">
        <v>0.58333333333333337</v>
      </c>
      <c r="D215" s="17"/>
      <c r="E215" s="17"/>
      <c r="F215" s="1" t="s">
        <v>350</v>
      </c>
      <c r="G215" s="1" t="s">
        <v>91</v>
      </c>
      <c r="H215" s="4" t="s">
        <v>648</v>
      </c>
      <c r="I215" s="5">
        <v>23000</v>
      </c>
      <c r="J215" s="5"/>
      <c r="K215" s="34" t="b">
        <v>0</v>
      </c>
      <c r="L215" s="35"/>
      <c r="M215" s="36">
        <f>Table4[[#This Row],[Attendance]]*Table4[[#This Row],[TICKET PRICE]]</f>
        <v>0</v>
      </c>
      <c r="N215" s="39"/>
      <c r="O215" s="39"/>
    </row>
    <row r="216" spans="1:15" hidden="1" x14ac:dyDescent="0.25">
      <c r="A216" s="4">
        <v>24</v>
      </c>
      <c r="B216" s="18">
        <v>46446</v>
      </c>
      <c r="C216" s="17">
        <v>0.58333333333333337</v>
      </c>
      <c r="D216" s="17"/>
      <c r="E216" s="17"/>
      <c r="F216" s="1" t="s">
        <v>557</v>
      </c>
      <c r="G216" s="1" t="s">
        <v>41</v>
      </c>
      <c r="H216" s="4" t="s">
        <v>644</v>
      </c>
      <c r="I216" s="5">
        <v>17000</v>
      </c>
      <c r="J216" s="5"/>
      <c r="K216" s="34" t="b">
        <v>0</v>
      </c>
      <c r="L216" s="35"/>
      <c r="M216" s="36">
        <f>Table4[[#This Row],[Attendance]]*Table4[[#This Row],[TICKET PRICE]]</f>
        <v>0</v>
      </c>
      <c r="N216" s="39"/>
      <c r="O216" s="39"/>
    </row>
    <row r="217" spans="1:15" hidden="1" x14ac:dyDescent="0.25">
      <c r="A217" s="4">
        <v>24</v>
      </c>
      <c r="B217" s="18">
        <v>46446</v>
      </c>
      <c r="C217" s="17">
        <v>0.6875</v>
      </c>
      <c r="D217" s="17"/>
      <c r="E217" s="17"/>
      <c r="F217" s="1" t="s">
        <v>210</v>
      </c>
      <c r="G217" s="1" t="s">
        <v>66</v>
      </c>
      <c r="H217" s="4" t="s">
        <v>657</v>
      </c>
      <c r="I217" s="5">
        <v>70000</v>
      </c>
      <c r="J217" s="5"/>
      <c r="K217" s="34" t="b">
        <v>0</v>
      </c>
      <c r="L217" s="35"/>
      <c r="M217" s="36">
        <f>Table4[[#This Row],[Attendance]]*Table4[[#This Row],[TICKET PRICE]]</f>
        <v>0</v>
      </c>
      <c r="N217" s="39"/>
      <c r="O217" s="39"/>
    </row>
    <row r="218" spans="1:15" hidden="1" x14ac:dyDescent="0.25">
      <c r="A218" s="4">
        <v>25</v>
      </c>
      <c r="B218" s="18">
        <v>46452</v>
      </c>
      <c r="C218" s="17">
        <v>0.52083333333333337</v>
      </c>
      <c r="D218" s="17"/>
      <c r="E218" s="17"/>
      <c r="F218" s="1" t="s">
        <v>114</v>
      </c>
      <c r="G218" s="1" t="s">
        <v>350</v>
      </c>
      <c r="H218" s="4" t="s">
        <v>645</v>
      </c>
      <c r="I218" s="5">
        <v>45000</v>
      </c>
      <c r="J218" s="5"/>
      <c r="K218" s="34" t="b">
        <v>0</v>
      </c>
      <c r="L218" s="35"/>
      <c r="M218" s="36">
        <f>Table4[[#This Row],[Attendance]]*Table4[[#This Row],[TICKET PRICE]]</f>
        <v>0</v>
      </c>
      <c r="N218" s="39"/>
      <c r="O218" s="39"/>
    </row>
    <row r="219" spans="1:15" hidden="1" x14ac:dyDescent="0.25">
      <c r="A219" s="4">
        <v>25</v>
      </c>
      <c r="B219" s="18">
        <v>46452</v>
      </c>
      <c r="C219" s="17">
        <v>0.625</v>
      </c>
      <c r="D219" s="17"/>
      <c r="E219" s="17"/>
      <c r="F219" s="1" t="s">
        <v>371</v>
      </c>
      <c r="G219" s="1" t="s">
        <v>556</v>
      </c>
      <c r="H219" s="4" t="s">
        <v>654</v>
      </c>
      <c r="I219" s="5">
        <v>36000</v>
      </c>
      <c r="J219" s="5"/>
      <c r="K219" s="34" t="b">
        <v>0</v>
      </c>
      <c r="L219" s="35"/>
      <c r="M219" s="36">
        <f>Table4[[#This Row],[Attendance]]*Table4[[#This Row],[TICKET PRICE]]</f>
        <v>0</v>
      </c>
      <c r="N219" s="39"/>
      <c r="O219" s="39"/>
    </row>
    <row r="220" spans="1:15" hidden="1" x14ac:dyDescent="0.25">
      <c r="A220" s="4">
        <v>25</v>
      </c>
      <c r="B220" s="18">
        <v>46452</v>
      </c>
      <c r="C220" s="17">
        <v>0.625</v>
      </c>
      <c r="D220" s="17"/>
      <c r="E220" s="17"/>
      <c r="F220" s="1" t="s">
        <v>163</v>
      </c>
      <c r="G220" s="1" t="s">
        <v>186</v>
      </c>
      <c r="H220" s="4" t="s">
        <v>656</v>
      </c>
      <c r="I220" s="5">
        <v>100000</v>
      </c>
      <c r="J220" s="5"/>
      <c r="K220" s="34" t="b">
        <v>0</v>
      </c>
      <c r="L220" s="35"/>
      <c r="M220" s="36">
        <f>Table4[[#This Row],[Attendance]]*Table4[[#This Row],[TICKET PRICE]]</f>
        <v>0</v>
      </c>
      <c r="N220" s="39"/>
      <c r="O220" s="39"/>
    </row>
    <row r="221" spans="1:15" hidden="1" x14ac:dyDescent="0.25">
      <c r="A221" s="4">
        <v>25</v>
      </c>
      <c r="B221" s="18">
        <v>46452</v>
      </c>
      <c r="C221" s="17">
        <v>0.625</v>
      </c>
      <c r="D221" s="17"/>
      <c r="E221" s="17"/>
      <c r="F221" s="1" t="s">
        <v>557</v>
      </c>
      <c r="G221" s="1" t="s">
        <v>210</v>
      </c>
      <c r="H221" s="4" t="s">
        <v>644</v>
      </c>
      <c r="I221" s="5">
        <v>17000</v>
      </c>
      <c r="J221" s="5"/>
      <c r="K221" s="34" t="b">
        <v>0</v>
      </c>
      <c r="L221" s="35"/>
      <c r="M221" s="36">
        <f>Table4[[#This Row],[Attendance]]*Table4[[#This Row],[TICKET PRICE]]</f>
        <v>0</v>
      </c>
      <c r="N221" s="39"/>
      <c r="O221" s="39"/>
    </row>
    <row r="222" spans="1:15" hidden="1" x14ac:dyDescent="0.25">
      <c r="A222" s="4">
        <v>25</v>
      </c>
      <c r="B222" s="18">
        <v>46452</v>
      </c>
      <c r="C222" s="17">
        <v>0.625</v>
      </c>
      <c r="D222" s="17"/>
      <c r="E222" s="17"/>
      <c r="F222" s="1" t="s">
        <v>91</v>
      </c>
      <c r="G222" s="1" t="s">
        <v>236</v>
      </c>
      <c r="H222" s="4" t="s">
        <v>658</v>
      </c>
      <c r="I222" s="5">
        <v>87000</v>
      </c>
      <c r="J222" s="5"/>
      <c r="K222" s="34" t="b">
        <v>0</v>
      </c>
      <c r="L222" s="35"/>
      <c r="M222" s="36">
        <f>Table4[[#This Row],[Attendance]]*Table4[[#This Row],[TICKET PRICE]]</f>
        <v>0</v>
      </c>
      <c r="N222" s="39"/>
      <c r="O222" s="39"/>
    </row>
    <row r="223" spans="1:15" hidden="1" x14ac:dyDescent="0.25">
      <c r="A223" s="4">
        <v>25</v>
      </c>
      <c r="B223" s="18">
        <v>46452</v>
      </c>
      <c r="C223" s="17">
        <v>0.72916666666666663</v>
      </c>
      <c r="D223" s="17"/>
      <c r="E223" s="17"/>
      <c r="F223" s="1" t="s">
        <v>41</v>
      </c>
      <c r="G223" s="1" t="s">
        <v>305</v>
      </c>
      <c r="H223" s="4" t="s">
        <v>660</v>
      </c>
      <c r="I223" s="5">
        <v>70000</v>
      </c>
      <c r="J223" s="5"/>
      <c r="K223" s="34" t="b">
        <v>0</v>
      </c>
      <c r="L223" s="35"/>
      <c r="M223" s="36">
        <f>Table4[[#This Row],[Attendance]]*Table4[[#This Row],[TICKET PRICE]]</f>
        <v>0</v>
      </c>
      <c r="N223" s="39"/>
      <c r="O223" s="39"/>
    </row>
    <row r="224" spans="1:15" hidden="1" x14ac:dyDescent="0.25">
      <c r="A224" s="4">
        <v>25</v>
      </c>
      <c r="B224" s="18">
        <v>46453</v>
      </c>
      <c r="C224" s="17">
        <v>0.58333333333333337</v>
      </c>
      <c r="D224" s="17"/>
      <c r="E224" s="17"/>
      <c r="F224" s="1" t="s">
        <v>260</v>
      </c>
      <c r="G224" s="1" t="s">
        <v>283</v>
      </c>
      <c r="H224" s="4" t="s">
        <v>655</v>
      </c>
      <c r="I224" s="5">
        <v>40000</v>
      </c>
      <c r="J224" s="5"/>
      <c r="K224" s="34" t="b">
        <v>0</v>
      </c>
      <c r="L224" s="35"/>
      <c r="M224" s="36">
        <f>Table4[[#This Row],[Attendance]]*Table4[[#This Row],[TICKET PRICE]]</f>
        <v>0</v>
      </c>
      <c r="N224" s="39"/>
      <c r="O224" s="39"/>
    </row>
    <row r="225" spans="1:15" hidden="1" x14ac:dyDescent="0.25">
      <c r="A225" s="4">
        <v>25</v>
      </c>
      <c r="B225" s="18">
        <v>46453</v>
      </c>
      <c r="C225" s="17">
        <v>0.58333333333333337</v>
      </c>
      <c r="D225" s="17"/>
      <c r="E225" s="17"/>
      <c r="F225" s="1" t="s">
        <v>566</v>
      </c>
      <c r="G225" s="1" t="s">
        <v>327</v>
      </c>
      <c r="H225" s="4" t="s">
        <v>643</v>
      </c>
      <c r="I225" s="5">
        <v>8000</v>
      </c>
      <c r="J225" s="5"/>
      <c r="K225" s="34" t="b">
        <v>0</v>
      </c>
      <c r="L225" s="35"/>
      <c r="M225" s="36">
        <f>Table4[[#This Row],[Attendance]]*Table4[[#This Row],[TICKET PRICE]]</f>
        <v>0</v>
      </c>
      <c r="N225" s="39"/>
      <c r="O225" s="39"/>
    </row>
    <row r="226" spans="1:15" hidden="1" x14ac:dyDescent="0.25">
      <c r="A226" s="4">
        <v>25</v>
      </c>
      <c r="B226" s="18">
        <v>46453</v>
      </c>
      <c r="C226" s="17">
        <v>0.6875</v>
      </c>
      <c r="D226" s="17"/>
      <c r="E226" s="17"/>
      <c r="F226" s="1" t="s">
        <v>66</v>
      </c>
      <c r="G226" s="1" t="s">
        <v>139</v>
      </c>
      <c r="H226" s="4" t="s">
        <v>659</v>
      </c>
      <c r="I226" s="5">
        <v>87000</v>
      </c>
      <c r="J226" s="5"/>
      <c r="K226" s="34" t="b">
        <v>0</v>
      </c>
      <c r="L226" s="35"/>
      <c r="M226" s="36">
        <f>Table4[[#This Row],[Attendance]]*Table4[[#This Row],[TICKET PRICE]]</f>
        <v>0</v>
      </c>
      <c r="N226" s="39"/>
      <c r="O226" s="39"/>
    </row>
    <row r="227" spans="1:15" hidden="1" x14ac:dyDescent="0.25">
      <c r="A227" s="4">
        <v>26</v>
      </c>
      <c r="B227" s="18">
        <v>46466</v>
      </c>
      <c r="C227" s="17">
        <v>0.52083333333333337</v>
      </c>
      <c r="D227" s="17"/>
      <c r="E227" s="17"/>
      <c r="F227" s="1" t="s">
        <v>556</v>
      </c>
      <c r="G227" s="1" t="s">
        <v>163</v>
      </c>
      <c r="H227" s="4" t="s">
        <v>642</v>
      </c>
      <c r="I227" s="5">
        <v>29700</v>
      </c>
      <c r="J227" s="5"/>
      <c r="K227" s="34" t="b">
        <v>0</v>
      </c>
      <c r="L227" s="35"/>
      <c r="M227" s="36">
        <f>Table4[[#This Row],[Attendance]]*Table4[[#This Row],[TICKET PRICE]]</f>
        <v>0</v>
      </c>
      <c r="N227" s="39"/>
      <c r="O227" s="39"/>
    </row>
    <row r="228" spans="1:15" hidden="1" x14ac:dyDescent="0.25">
      <c r="A228" s="4">
        <v>26</v>
      </c>
      <c r="B228" s="18">
        <v>46466</v>
      </c>
      <c r="C228" s="17">
        <v>0.625</v>
      </c>
      <c r="D228" s="17"/>
      <c r="E228" s="17"/>
      <c r="F228" s="1" t="s">
        <v>283</v>
      </c>
      <c r="G228" s="1" t="s">
        <v>371</v>
      </c>
      <c r="H228" s="4" t="s">
        <v>650</v>
      </c>
      <c r="I228" s="5">
        <v>55000</v>
      </c>
      <c r="J228" s="5"/>
      <c r="K228" s="34" t="b">
        <v>0</v>
      </c>
      <c r="L228" s="35"/>
      <c r="M228" s="36">
        <f>Table4[[#This Row],[Attendance]]*Table4[[#This Row],[TICKET PRICE]]</f>
        <v>0</v>
      </c>
      <c r="N228" s="39"/>
      <c r="O228" s="39"/>
    </row>
    <row r="229" spans="1:15" hidden="1" x14ac:dyDescent="0.25">
      <c r="A229" s="4">
        <v>26</v>
      </c>
      <c r="B229" s="18">
        <v>46466</v>
      </c>
      <c r="C229" s="17">
        <v>0.625</v>
      </c>
      <c r="D229" s="17"/>
      <c r="E229" s="17"/>
      <c r="F229" s="1" t="s">
        <v>210</v>
      </c>
      <c r="G229" s="1" t="s">
        <v>41</v>
      </c>
      <c r="H229" s="4" t="s">
        <v>657</v>
      </c>
      <c r="I229" s="5">
        <v>70000</v>
      </c>
      <c r="J229" s="5"/>
      <c r="K229" s="34" t="b">
        <v>0</v>
      </c>
      <c r="L229" s="35"/>
      <c r="M229" s="36">
        <f>Table4[[#This Row],[Attendance]]*Table4[[#This Row],[TICKET PRICE]]</f>
        <v>0</v>
      </c>
      <c r="N229" s="39"/>
      <c r="O229" s="39"/>
    </row>
    <row r="230" spans="1:15" hidden="1" x14ac:dyDescent="0.25">
      <c r="A230" s="4">
        <v>26</v>
      </c>
      <c r="B230" s="18">
        <v>46466</v>
      </c>
      <c r="C230" s="17">
        <v>0.625</v>
      </c>
      <c r="D230" s="17"/>
      <c r="E230" s="17"/>
      <c r="F230" s="1" t="s">
        <v>305</v>
      </c>
      <c r="G230" s="1" t="s">
        <v>566</v>
      </c>
      <c r="H230" s="4" t="s">
        <v>646</v>
      </c>
      <c r="I230" s="5">
        <v>45000</v>
      </c>
      <c r="J230" s="5"/>
      <c r="K230" s="34" t="b">
        <v>0</v>
      </c>
      <c r="L230" s="35"/>
      <c r="M230" s="36">
        <f>Table4[[#This Row],[Attendance]]*Table4[[#This Row],[TICKET PRICE]]</f>
        <v>0</v>
      </c>
      <c r="N230" s="39"/>
      <c r="O230" s="39"/>
    </row>
    <row r="231" spans="1:15" hidden="1" x14ac:dyDescent="0.25">
      <c r="A231" s="4">
        <v>26</v>
      </c>
      <c r="B231" s="18">
        <v>46466</v>
      </c>
      <c r="C231" s="17">
        <v>0.625</v>
      </c>
      <c r="D231" s="17"/>
      <c r="E231" s="17"/>
      <c r="F231" s="1" t="s">
        <v>236</v>
      </c>
      <c r="G231" s="1" t="s">
        <v>114</v>
      </c>
      <c r="H231" s="4" t="s">
        <v>652</v>
      </c>
      <c r="I231" s="5">
        <v>35000</v>
      </c>
      <c r="J231" s="5"/>
      <c r="K231" s="34" t="b">
        <v>0</v>
      </c>
      <c r="L231" s="35"/>
      <c r="M231" s="36">
        <f>Table4[[#This Row],[Attendance]]*Table4[[#This Row],[TICKET PRICE]]</f>
        <v>0</v>
      </c>
      <c r="N231" s="39"/>
      <c r="O231" s="39"/>
    </row>
    <row r="232" spans="1:15" hidden="1" x14ac:dyDescent="0.25">
      <c r="A232" s="4">
        <v>26</v>
      </c>
      <c r="B232" s="18">
        <v>46466</v>
      </c>
      <c r="C232" s="17">
        <v>0.72916666666666663</v>
      </c>
      <c r="D232" s="17"/>
      <c r="E232" s="17"/>
      <c r="F232" s="1" t="s">
        <v>350</v>
      </c>
      <c r="G232" s="1" t="s">
        <v>66</v>
      </c>
      <c r="H232" s="4" t="s">
        <v>648</v>
      </c>
      <c r="I232" s="5">
        <v>23000</v>
      </c>
      <c r="J232" s="5"/>
      <c r="K232" s="34" t="b">
        <v>0</v>
      </c>
      <c r="L232" s="35"/>
      <c r="M232" s="36">
        <f>Table4[[#This Row],[Attendance]]*Table4[[#This Row],[TICKET PRICE]]</f>
        <v>0</v>
      </c>
      <c r="N232" s="39"/>
      <c r="O232" s="39"/>
    </row>
    <row r="233" spans="1:15" hidden="1" x14ac:dyDescent="0.25">
      <c r="A233" s="4">
        <v>26</v>
      </c>
      <c r="B233" s="18">
        <v>46467</v>
      </c>
      <c r="C233" s="17">
        <v>0.58333333333333337</v>
      </c>
      <c r="D233" s="17"/>
      <c r="E233" s="17"/>
      <c r="F233" s="1" t="s">
        <v>139</v>
      </c>
      <c r="G233" s="1" t="s">
        <v>557</v>
      </c>
      <c r="H233" s="4" t="s">
        <v>653</v>
      </c>
      <c r="I233" s="5">
        <v>65000</v>
      </c>
      <c r="J233" s="5"/>
      <c r="K233" s="34" t="b">
        <v>0</v>
      </c>
      <c r="L233" s="35"/>
      <c r="M233" s="36">
        <f>Table4[[#This Row],[Attendance]]*Table4[[#This Row],[TICKET PRICE]]</f>
        <v>0</v>
      </c>
      <c r="N233" s="39"/>
      <c r="O233" s="39"/>
    </row>
    <row r="234" spans="1:15" hidden="1" x14ac:dyDescent="0.25">
      <c r="A234" s="4">
        <v>26</v>
      </c>
      <c r="B234" s="18">
        <v>46467</v>
      </c>
      <c r="C234" s="17">
        <v>0.58333333333333337</v>
      </c>
      <c r="D234" s="17"/>
      <c r="E234" s="17"/>
      <c r="F234" s="1" t="s">
        <v>186</v>
      </c>
      <c r="G234" s="1" t="s">
        <v>91</v>
      </c>
      <c r="H234" s="4" t="s">
        <v>647</v>
      </c>
      <c r="I234" s="5">
        <v>80000</v>
      </c>
      <c r="J234" s="5"/>
      <c r="K234" s="34" t="b">
        <v>0</v>
      </c>
      <c r="L234" s="35"/>
      <c r="M234" s="36">
        <f>Table4[[#This Row],[Attendance]]*Table4[[#This Row],[TICKET PRICE]]</f>
        <v>0</v>
      </c>
      <c r="N234" s="39"/>
      <c r="O234" s="39"/>
    </row>
    <row r="235" spans="1:15" hidden="1" x14ac:dyDescent="0.25">
      <c r="A235" s="4">
        <v>26</v>
      </c>
      <c r="B235" s="18">
        <v>46467</v>
      </c>
      <c r="C235" s="17">
        <v>0.6875</v>
      </c>
      <c r="D235" s="17"/>
      <c r="E235" s="17"/>
      <c r="F235" s="1" t="s">
        <v>327</v>
      </c>
      <c r="G235" s="1" t="s">
        <v>260</v>
      </c>
      <c r="H235" s="4" t="s">
        <v>651</v>
      </c>
      <c r="I235" s="5">
        <v>40000</v>
      </c>
      <c r="J235" s="5"/>
      <c r="K235" s="34" t="b">
        <v>0</v>
      </c>
      <c r="L235" s="35"/>
      <c r="M235" s="36">
        <f>Table4[[#This Row],[Attendance]]*Table4[[#This Row],[TICKET PRICE]]</f>
        <v>0</v>
      </c>
      <c r="N235" s="39"/>
      <c r="O235" s="39"/>
    </row>
    <row r="236" spans="1:15" hidden="1" x14ac:dyDescent="0.25">
      <c r="A236" s="4">
        <v>27</v>
      </c>
      <c r="B236" s="18">
        <v>46480</v>
      </c>
      <c r="C236" s="17">
        <v>0.52083333333333337</v>
      </c>
      <c r="D236" s="17"/>
      <c r="E236" s="17"/>
      <c r="F236" s="1" t="s">
        <v>66</v>
      </c>
      <c r="G236" s="1" t="s">
        <v>236</v>
      </c>
      <c r="H236" s="4" t="s">
        <v>659</v>
      </c>
      <c r="I236" s="5">
        <v>87000</v>
      </c>
      <c r="J236" s="5"/>
      <c r="K236" s="34" t="b">
        <v>0</v>
      </c>
      <c r="L236" s="35"/>
      <c r="M236" s="36">
        <f>Table4[[#This Row],[Attendance]]*Table4[[#This Row],[TICKET PRICE]]</f>
        <v>0</v>
      </c>
      <c r="N236" s="39"/>
      <c r="O236" s="39"/>
    </row>
    <row r="237" spans="1:15" hidden="1" x14ac:dyDescent="0.25">
      <c r="A237" s="4">
        <v>27</v>
      </c>
      <c r="B237" s="18">
        <v>46480</v>
      </c>
      <c r="C237" s="17">
        <v>0.625</v>
      </c>
      <c r="D237" s="17"/>
      <c r="E237" s="17"/>
      <c r="F237" s="1" t="s">
        <v>260</v>
      </c>
      <c r="G237" s="1" t="s">
        <v>305</v>
      </c>
      <c r="H237" s="4" t="s">
        <v>655</v>
      </c>
      <c r="I237" s="5">
        <v>40000</v>
      </c>
      <c r="J237" s="5"/>
      <c r="K237" s="34" t="b">
        <v>0</v>
      </c>
      <c r="L237" s="35"/>
      <c r="M237" s="36">
        <f>Table4[[#This Row],[Attendance]]*Table4[[#This Row],[TICKET PRICE]]</f>
        <v>0</v>
      </c>
      <c r="N237" s="39"/>
      <c r="O237" s="39"/>
    </row>
    <row r="238" spans="1:15" hidden="1" x14ac:dyDescent="0.25">
      <c r="A238" s="4">
        <v>27</v>
      </c>
      <c r="B238" s="18">
        <v>46480</v>
      </c>
      <c r="C238" s="17">
        <v>0.625</v>
      </c>
      <c r="D238" s="17"/>
      <c r="E238" s="17"/>
      <c r="F238" s="1" t="s">
        <v>163</v>
      </c>
      <c r="G238" s="1" t="s">
        <v>283</v>
      </c>
      <c r="H238" s="4" t="s">
        <v>656</v>
      </c>
      <c r="I238" s="5">
        <v>100000</v>
      </c>
      <c r="J238" s="5"/>
      <c r="K238" s="34" t="b">
        <v>0</v>
      </c>
      <c r="L238" s="35"/>
      <c r="M238" s="36">
        <f>Table4[[#This Row],[Attendance]]*Table4[[#This Row],[TICKET PRICE]]</f>
        <v>0</v>
      </c>
      <c r="N238" s="39"/>
      <c r="O238" s="39"/>
    </row>
    <row r="239" spans="1:15" hidden="1" x14ac:dyDescent="0.25">
      <c r="A239" s="4">
        <v>27</v>
      </c>
      <c r="B239" s="18">
        <v>46480</v>
      </c>
      <c r="C239" s="17">
        <v>0.625</v>
      </c>
      <c r="D239" s="17"/>
      <c r="E239" s="17"/>
      <c r="F239" s="1" t="s">
        <v>114</v>
      </c>
      <c r="G239" s="1" t="s">
        <v>186</v>
      </c>
      <c r="H239" s="4" t="s">
        <v>645</v>
      </c>
      <c r="I239" s="5">
        <v>45000</v>
      </c>
      <c r="J239" s="5"/>
      <c r="K239" s="34" t="b">
        <v>0</v>
      </c>
      <c r="L239" s="35"/>
      <c r="M239" s="36">
        <f>Table4[[#This Row],[Attendance]]*Table4[[#This Row],[TICKET PRICE]]</f>
        <v>0</v>
      </c>
      <c r="N239" s="39"/>
      <c r="O239" s="39"/>
    </row>
    <row r="240" spans="1:15" hidden="1" x14ac:dyDescent="0.25">
      <c r="A240" s="4">
        <v>27</v>
      </c>
      <c r="B240" s="18">
        <v>46480</v>
      </c>
      <c r="C240" s="17">
        <v>0.625</v>
      </c>
      <c r="D240" s="17"/>
      <c r="E240" s="17"/>
      <c r="F240" s="1" t="s">
        <v>371</v>
      </c>
      <c r="G240" s="1" t="s">
        <v>327</v>
      </c>
      <c r="H240" s="4" t="s">
        <v>654</v>
      </c>
      <c r="I240" s="5">
        <v>36000</v>
      </c>
      <c r="J240" s="5"/>
      <c r="K240" s="34" t="b">
        <v>0</v>
      </c>
      <c r="L240" s="35"/>
      <c r="M240" s="36">
        <f>Table4[[#This Row],[Attendance]]*Table4[[#This Row],[TICKET PRICE]]</f>
        <v>0</v>
      </c>
      <c r="N240" s="39"/>
      <c r="O240" s="39"/>
    </row>
    <row r="241" spans="1:15" hidden="1" x14ac:dyDescent="0.25">
      <c r="A241" s="4">
        <v>27</v>
      </c>
      <c r="B241" s="18">
        <v>46480</v>
      </c>
      <c r="C241" s="17">
        <v>0.72916666666666663</v>
      </c>
      <c r="D241" s="17"/>
      <c r="E241" s="17"/>
      <c r="F241" s="1" t="s">
        <v>557</v>
      </c>
      <c r="G241" s="1" t="s">
        <v>350</v>
      </c>
      <c r="H241" s="4" t="s">
        <v>644</v>
      </c>
      <c r="I241" s="5">
        <v>17000</v>
      </c>
      <c r="J241" s="5"/>
      <c r="K241" s="34" t="b">
        <v>0</v>
      </c>
      <c r="L241" s="35"/>
      <c r="M241" s="36">
        <f>Table4[[#This Row],[Attendance]]*Table4[[#This Row],[TICKET PRICE]]</f>
        <v>0</v>
      </c>
      <c r="N241" s="39"/>
      <c r="O241" s="39"/>
    </row>
    <row r="242" spans="1:15" hidden="1" x14ac:dyDescent="0.25">
      <c r="A242" s="4">
        <v>27</v>
      </c>
      <c r="B242" s="18">
        <v>46481</v>
      </c>
      <c r="C242" s="17">
        <v>0.58333333333333337</v>
      </c>
      <c r="D242" s="17"/>
      <c r="E242" s="17"/>
      <c r="F242" s="1" t="s">
        <v>91</v>
      </c>
      <c r="G242" s="1" t="s">
        <v>556</v>
      </c>
      <c r="H242" s="4" t="s">
        <v>658</v>
      </c>
      <c r="I242" s="5">
        <v>87000</v>
      </c>
      <c r="J242" s="5"/>
      <c r="K242" s="34" t="b">
        <v>0</v>
      </c>
      <c r="L242" s="35"/>
      <c r="M242" s="36">
        <f>Table4[[#This Row],[Attendance]]*Table4[[#This Row],[TICKET PRICE]]</f>
        <v>0</v>
      </c>
      <c r="N242" s="39"/>
      <c r="O242" s="39"/>
    </row>
    <row r="243" spans="1:15" hidden="1" x14ac:dyDescent="0.25">
      <c r="A243" s="4">
        <v>27</v>
      </c>
      <c r="B243" s="18">
        <v>46481</v>
      </c>
      <c r="C243" s="17">
        <v>0.58333333333333337</v>
      </c>
      <c r="D243" s="17"/>
      <c r="E243" s="17"/>
      <c r="F243" s="1" t="s">
        <v>210</v>
      </c>
      <c r="G243" s="1" t="s">
        <v>139</v>
      </c>
      <c r="H243" s="4" t="s">
        <v>657</v>
      </c>
      <c r="I243" s="5">
        <v>70000</v>
      </c>
      <c r="J243" s="5"/>
      <c r="K243" s="34" t="b">
        <v>0</v>
      </c>
      <c r="L243" s="35"/>
      <c r="M243" s="36">
        <f>Table4[[#This Row],[Attendance]]*Table4[[#This Row],[TICKET PRICE]]</f>
        <v>0</v>
      </c>
      <c r="N243" s="39"/>
      <c r="O243" s="39"/>
    </row>
    <row r="244" spans="1:15" hidden="1" x14ac:dyDescent="0.25">
      <c r="A244" s="4">
        <v>27</v>
      </c>
      <c r="B244" s="18">
        <v>46481</v>
      </c>
      <c r="C244" s="17">
        <v>0.6875</v>
      </c>
      <c r="D244" s="17"/>
      <c r="E244" s="17"/>
      <c r="F244" s="1" t="s">
        <v>41</v>
      </c>
      <c r="G244" s="1" t="s">
        <v>566</v>
      </c>
      <c r="H244" s="4" t="s">
        <v>660</v>
      </c>
      <c r="I244" s="5">
        <v>70000</v>
      </c>
      <c r="J244" s="5"/>
      <c r="K244" s="34" t="b">
        <v>0</v>
      </c>
      <c r="L244" s="35"/>
      <c r="M244" s="36">
        <f>Table4[[#This Row],[Attendance]]*Table4[[#This Row],[TICKET PRICE]]</f>
        <v>0</v>
      </c>
      <c r="N244" s="39"/>
      <c r="O244" s="39"/>
    </row>
    <row r="245" spans="1:15" hidden="1" x14ac:dyDescent="0.25">
      <c r="A245" s="4">
        <v>28</v>
      </c>
      <c r="B245" s="18">
        <v>46487</v>
      </c>
      <c r="C245" s="17">
        <v>0.52083333333333337</v>
      </c>
      <c r="D245" s="17"/>
      <c r="E245" s="17"/>
      <c r="F245" s="1" t="s">
        <v>305</v>
      </c>
      <c r="G245" s="1" t="s">
        <v>371</v>
      </c>
      <c r="H245" s="4" t="s">
        <v>646</v>
      </c>
      <c r="I245" s="5">
        <v>45000</v>
      </c>
      <c r="J245" s="5"/>
      <c r="K245" s="34" t="b">
        <v>0</v>
      </c>
      <c r="L245" s="35"/>
      <c r="M245" s="36">
        <f>Table4[[#This Row],[Attendance]]*Table4[[#This Row],[TICKET PRICE]]</f>
        <v>0</v>
      </c>
      <c r="N245" s="39"/>
      <c r="O245" s="39"/>
    </row>
    <row r="246" spans="1:15" hidden="1" x14ac:dyDescent="0.25">
      <c r="A246" s="4">
        <v>28</v>
      </c>
      <c r="B246" s="18">
        <v>46487</v>
      </c>
      <c r="C246" s="17">
        <v>0.625</v>
      </c>
      <c r="D246" s="17"/>
      <c r="E246" s="17"/>
      <c r="F246" s="1" t="s">
        <v>566</v>
      </c>
      <c r="G246" s="1" t="s">
        <v>260</v>
      </c>
      <c r="H246" s="4" t="s">
        <v>643</v>
      </c>
      <c r="I246" s="5">
        <v>8000</v>
      </c>
      <c r="J246" s="5"/>
      <c r="K246" s="34" t="b">
        <v>0</v>
      </c>
      <c r="L246" s="35"/>
      <c r="M246" s="36">
        <f>Table4[[#This Row],[Attendance]]*Table4[[#This Row],[TICKET PRICE]]</f>
        <v>0</v>
      </c>
      <c r="N246" s="39"/>
      <c r="O246" s="39"/>
    </row>
    <row r="247" spans="1:15" hidden="1" x14ac:dyDescent="0.25">
      <c r="A247" s="4">
        <v>28</v>
      </c>
      <c r="B247" s="18">
        <v>46487</v>
      </c>
      <c r="C247" s="17">
        <v>0.625</v>
      </c>
      <c r="D247" s="17"/>
      <c r="E247" s="17"/>
      <c r="F247" s="1" t="s">
        <v>556</v>
      </c>
      <c r="G247" s="1" t="s">
        <v>114</v>
      </c>
      <c r="H247" s="4" t="s">
        <v>642</v>
      </c>
      <c r="I247" s="5">
        <v>29700</v>
      </c>
      <c r="J247" s="5"/>
      <c r="K247" s="34" t="b">
        <v>0</v>
      </c>
      <c r="L247" s="35"/>
      <c r="M247" s="36">
        <f>Table4[[#This Row],[Attendance]]*Table4[[#This Row],[TICKET PRICE]]</f>
        <v>0</v>
      </c>
      <c r="N247" s="39"/>
      <c r="O247" s="39"/>
    </row>
    <row r="248" spans="1:15" hidden="1" x14ac:dyDescent="0.25">
      <c r="A248" s="4">
        <v>28</v>
      </c>
      <c r="B248" s="18">
        <v>46487</v>
      </c>
      <c r="C248" s="17">
        <v>0.625</v>
      </c>
      <c r="D248" s="17"/>
      <c r="E248" s="17"/>
      <c r="F248" s="1" t="s">
        <v>283</v>
      </c>
      <c r="G248" s="1" t="s">
        <v>91</v>
      </c>
      <c r="H248" s="4" t="s">
        <v>650</v>
      </c>
      <c r="I248" s="5">
        <v>55000</v>
      </c>
      <c r="J248" s="5"/>
      <c r="K248" s="34" t="b">
        <v>0</v>
      </c>
      <c r="L248" s="35"/>
      <c r="M248" s="36">
        <f>Table4[[#This Row],[Attendance]]*Table4[[#This Row],[TICKET PRICE]]</f>
        <v>0</v>
      </c>
      <c r="N248" s="39"/>
      <c r="O248" s="39"/>
    </row>
    <row r="249" spans="1:15" hidden="1" x14ac:dyDescent="0.25">
      <c r="A249" s="4">
        <v>28</v>
      </c>
      <c r="B249" s="18">
        <v>46487</v>
      </c>
      <c r="C249" s="17">
        <v>0.625</v>
      </c>
      <c r="D249" s="17"/>
      <c r="E249" s="17"/>
      <c r="F249" s="1" t="s">
        <v>350</v>
      </c>
      <c r="G249" s="1" t="s">
        <v>210</v>
      </c>
      <c r="H249" s="4" t="s">
        <v>648</v>
      </c>
      <c r="I249" s="5">
        <v>23000</v>
      </c>
      <c r="J249" s="5"/>
      <c r="K249" s="34" t="b">
        <v>0</v>
      </c>
      <c r="L249" s="35"/>
      <c r="M249" s="36">
        <f>Table4[[#This Row],[Attendance]]*Table4[[#This Row],[TICKET PRICE]]</f>
        <v>0</v>
      </c>
      <c r="N249" s="39"/>
      <c r="O249" s="39"/>
    </row>
    <row r="250" spans="1:15" hidden="1" x14ac:dyDescent="0.25">
      <c r="A250" s="4">
        <v>28</v>
      </c>
      <c r="B250" s="18">
        <v>46487</v>
      </c>
      <c r="C250" s="17">
        <v>0.72916666666666663</v>
      </c>
      <c r="D250" s="17"/>
      <c r="E250" s="17"/>
      <c r="F250" s="1" t="s">
        <v>139</v>
      </c>
      <c r="G250" s="1" t="s">
        <v>41</v>
      </c>
      <c r="H250" s="4" t="s">
        <v>653</v>
      </c>
      <c r="I250" s="5">
        <v>65000</v>
      </c>
      <c r="J250" s="5"/>
      <c r="K250" s="34" t="b">
        <v>0</v>
      </c>
      <c r="L250" s="35"/>
      <c r="M250" s="36">
        <f>Table4[[#This Row],[Attendance]]*Table4[[#This Row],[TICKET PRICE]]</f>
        <v>0</v>
      </c>
      <c r="N250" s="39"/>
      <c r="O250" s="39"/>
    </row>
    <row r="251" spans="1:15" hidden="1" x14ac:dyDescent="0.25">
      <c r="A251" s="4">
        <v>28</v>
      </c>
      <c r="B251" s="18">
        <v>46488</v>
      </c>
      <c r="C251" s="17">
        <v>0.58333333333333337</v>
      </c>
      <c r="D251" s="17"/>
      <c r="E251" s="17"/>
      <c r="F251" s="1" t="s">
        <v>236</v>
      </c>
      <c r="G251" s="1" t="s">
        <v>557</v>
      </c>
      <c r="H251" s="4" t="s">
        <v>652</v>
      </c>
      <c r="I251" s="5">
        <v>35000</v>
      </c>
      <c r="J251" s="5"/>
      <c r="K251" s="34" t="b">
        <v>0</v>
      </c>
      <c r="L251" s="35"/>
      <c r="M251" s="36">
        <f>Table4[[#This Row],[Attendance]]*Table4[[#This Row],[TICKET PRICE]]</f>
        <v>0</v>
      </c>
      <c r="N251" s="39"/>
      <c r="O251" s="39"/>
    </row>
    <row r="252" spans="1:15" hidden="1" x14ac:dyDescent="0.25">
      <c r="A252" s="4">
        <v>28</v>
      </c>
      <c r="B252" s="18">
        <v>46488</v>
      </c>
      <c r="C252" s="17">
        <v>0.58333333333333337</v>
      </c>
      <c r="D252" s="17"/>
      <c r="E252" s="17"/>
      <c r="F252" s="1" t="s">
        <v>186</v>
      </c>
      <c r="G252" s="1" t="s">
        <v>66</v>
      </c>
      <c r="H252" s="4" t="s">
        <v>647</v>
      </c>
      <c r="I252" s="5">
        <v>80000</v>
      </c>
      <c r="J252" s="5"/>
      <c r="K252" s="34" t="b">
        <v>0</v>
      </c>
      <c r="L252" s="35"/>
      <c r="M252" s="36">
        <f>Table4[[#This Row],[Attendance]]*Table4[[#This Row],[TICKET PRICE]]</f>
        <v>0</v>
      </c>
      <c r="N252" s="39"/>
      <c r="O252" s="39"/>
    </row>
    <row r="253" spans="1:15" hidden="1" x14ac:dyDescent="0.25">
      <c r="A253" s="4">
        <v>28</v>
      </c>
      <c r="B253" s="18">
        <v>46488</v>
      </c>
      <c r="C253" s="17">
        <v>0.6875</v>
      </c>
      <c r="D253" s="17"/>
      <c r="E253" s="17"/>
      <c r="F253" s="1" t="s">
        <v>327</v>
      </c>
      <c r="G253" s="1" t="s">
        <v>163</v>
      </c>
      <c r="H253" s="4" t="s">
        <v>651</v>
      </c>
      <c r="I253" s="5">
        <v>40000</v>
      </c>
      <c r="J253" s="5"/>
      <c r="K253" s="34" t="b">
        <v>0</v>
      </c>
      <c r="L253" s="35"/>
      <c r="M253" s="36">
        <f>Table4[[#This Row],[Attendance]]*Table4[[#This Row],[TICKET PRICE]]</f>
        <v>0</v>
      </c>
      <c r="N253" s="39"/>
      <c r="O253" s="39"/>
    </row>
    <row r="254" spans="1:15" hidden="1" x14ac:dyDescent="0.25">
      <c r="A254" s="4">
        <v>29</v>
      </c>
      <c r="B254" s="18">
        <v>46494</v>
      </c>
      <c r="C254" s="17">
        <v>0.52083333333333337</v>
      </c>
      <c r="D254" s="17"/>
      <c r="E254" s="17"/>
      <c r="F254" s="1" t="s">
        <v>260</v>
      </c>
      <c r="G254" s="1" t="s">
        <v>41</v>
      </c>
      <c r="H254" s="4" t="s">
        <v>655</v>
      </c>
      <c r="I254" s="5">
        <v>40000</v>
      </c>
      <c r="J254" s="5"/>
      <c r="K254" s="34" t="b">
        <v>0</v>
      </c>
      <c r="L254" s="35"/>
      <c r="M254" s="36">
        <f>Table4[[#This Row],[Attendance]]*Table4[[#This Row],[TICKET PRICE]]</f>
        <v>0</v>
      </c>
      <c r="N254" s="39"/>
      <c r="O254" s="39"/>
    </row>
    <row r="255" spans="1:15" hidden="1" x14ac:dyDescent="0.25">
      <c r="A255" s="4">
        <v>29</v>
      </c>
      <c r="B255" s="18">
        <v>46494</v>
      </c>
      <c r="C255" s="17">
        <v>0.625</v>
      </c>
      <c r="D255" s="17"/>
      <c r="E255" s="17"/>
      <c r="F255" s="1" t="s">
        <v>66</v>
      </c>
      <c r="G255" s="1" t="s">
        <v>556</v>
      </c>
      <c r="H255" s="4" t="s">
        <v>659</v>
      </c>
      <c r="I255" s="5">
        <v>87000</v>
      </c>
      <c r="J255" s="5"/>
      <c r="K255" s="34" t="b">
        <v>0</v>
      </c>
      <c r="L255" s="35"/>
      <c r="M255" s="36">
        <f>Table4[[#This Row],[Attendance]]*Table4[[#This Row],[TICKET PRICE]]</f>
        <v>0</v>
      </c>
      <c r="N255" s="39"/>
      <c r="O255" s="39"/>
    </row>
    <row r="256" spans="1:15" hidden="1" x14ac:dyDescent="0.25">
      <c r="A256" s="4">
        <v>29</v>
      </c>
      <c r="B256" s="18">
        <v>46494</v>
      </c>
      <c r="C256" s="17">
        <v>0.625</v>
      </c>
      <c r="D256" s="17"/>
      <c r="E256" s="17"/>
      <c r="F256" s="1" t="s">
        <v>350</v>
      </c>
      <c r="G256" s="1" t="s">
        <v>139</v>
      </c>
      <c r="H256" s="4" t="s">
        <v>648</v>
      </c>
      <c r="I256" s="5">
        <v>23000</v>
      </c>
      <c r="J256" s="5"/>
      <c r="K256" s="34" t="b">
        <v>0</v>
      </c>
      <c r="L256" s="35"/>
      <c r="M256" s="36">
        <f>Table4[[#This Row],[Attendance]]*Table4[[#This Row],[TICKET PRICE]]</f>
        <v>0</v>
      </c>
      <c r="N256" s="39"/>
      <c r="O256" s="39"/>
    </row>
    <row r="257" spans="1:15" hidden="1" x14ac:dyDescent="0.25">
      <c r="A257" s="4">
        <v>29</v>
      </c>
      <c r="B257" s="18">
        <v>46494</v>
      </c>
      <c r="C257" s="17">
        <v>0.625</v>
      </c>
      <c r="D257" s="17"/>
      <c r="E257" s="17"/>
      <c r="F257" s="1" t="s">
        <v>557</v>
      </c>
      <c r="G257" s="1" t="s">
        <v>186</v>
      </c>
      <c r="H257" s="4" t="s">
        <v>644</v>
      </c>
      <c r="I257" s="5">
        <v>17000</v>
      </c>
      <c r="J257" s="5"/>
      <c r="K257" s="34" t="b">
        <v>0</v>
      </c>
      <c r="L257" s="35"/>
      <c r="M257" s="36">
        <f>Table4[[#This Row],[Attendance]]*Table4[[#This Row],[TICKET PRICE]]</f>
        <v>0</v>
      </c>
      <c r="N257" s="39"/>
      <c r="O257" s="39"/>
    </row>
    <row r="258" spans="1:15" hidden="1" x14ac:dyDescent="0.25">
      <c r="A258" s="4">
        <v>29</v>
      </c>
      <c r="B258" s="18">
        <v>46494</v>
      </c>
      <c r="C258" s="17">
        <v>0.625</v>
      </c>
      <c r="D258" s="17"/>
      <c r="E258" s="17"/>
      <c r="F258" s="1" t="s">
        <v>283</v>
      </c>
      <c r="G258" s="1" t="s">
        <v>114</v>
      </c>
      <c r="H258" s="4" t="s">
        <v>650</v>
      </c>
      <c r="I258" s="5">
        <v>55000</v>
      </c>
      <c r="J258" s="5"/>
      <c r="K258" s="34" t="b">
        <v>0</v>
      </c>
      <c r="L258" s="35"/>
      <c r="M258" s="36">
        <f>Table4[[#This Row],[Attendance]]*Table4[[#This Row],[TICKET PRICE]]</f>
        <v>0</v>
      </c>
      <c r="N258" s="39"/>
      <c r="O258" s="39"/>
    </row>
    <row r="259" spans="1:15" hidden="1" x14ac:dyDescent="0.25">
      <c r="A259" s="4">
        <v>29</v>
      </c>
      <c r="B259" s="18">
        <v>46494</v>
      </c>
      <c r="C259" s="17">
        <v>0.72916666666666663</v>
      </c>
      <c r="D259" s="17"/>
      <c r="E259" s="17"/>
      <c r="F259" s="1" t="s">
        <v>210</v>
      </c>
      <c r="G259" s="1" t="s">
        <v>236</v>
      </c>
      <c r="H259" s="4" t="s">
        <v>657</v>
      </c>
      <c r="I259" s="5">
        <v>70000</v>
      </c>
      <c r="J259" s="5"/>
      <c r="K259" s="34" t="b">
        <v>0</v>
      </c>
      <c r="L259" s="35"/>
      <c r="M259" s="36">
        <f>Table4[[#This Row],[Attendance]]*Table4[[#This Row],[TICKET PRICE]]</f>
        <v>0</v>
      </c>
      <c r="N259" s="39"/>
      <c r="O259" s="39"/>
    </row>
    <row r="260" spans="1:15" hidden="1" x14ac:dyDescent="0.25">
      <c r="A260" s="4">
        <v>29</v>
      </c>
      <c r="B260" s="18">
        <v>46495</v>
      </c>
      <c r="C260" s="17">
        <v>0.58333333333333337</v>
      </c>
      <c r="D260" s="17"/>
      <c r="E260" s="17"/>
      <c r="F260" s="1" t="s">
        <v>91</v>
      </c>
      <c r="G260" s="1" t="s">
        <v>327</v>
      </c>
      <c r="H260" s="4" t="s">
        <v>658</v>
      </c>
      <c r="I260" s="5">
        <v>87000</v>
      </c>
      <c r="J260" s="5"/>
      <c r="K260" s="34" t="b">
        <v>0</v>
      </c>
      <c r="L260" s="35"/>
      <c r="M260" s="36">
        <f>Table4[[#This Row],[Attendance]]*Table4[[#This Row],[TICKET PRICE]]</f>
        <v>0</v>
      </c>
      <c r="N260" s="39"/>
      <c r="O260" s="39"/>
    </row>
    <row r="261" spans="1:15" hidden="1" x14ac:dyDescent="0.25">
      <c r="A261" s="4">
        <v>29</v>
      </c>
      <c r="B261" s="18">
        <v>46495</v>
      </c>
      <c r="C261" s="17">
        <v>0.58333333333333337</v>
      </c>
      <c r="D261" s="17"/>
      <c r="E261" s="17"/>
      <c r="F261" s="1" t="s">
        <v>163</v>
      </c>
      <c r="G261" s="1" t="s">
        <v>305</v>
      </c>
      <c r="H261" s="4" t="s">
        <v>656</v>
      </c>
      <c r="I261" s="5">
        <v>100000</v>
      </c>
      <c r="J261" s="5"/>
      <c r="K261" s="34" t="b">
        <v>0</v>
      </c>
      <c r="L261" s="35"/>
      <c r="M261" s="36">
        <f>Table4[[#This Row],[Attendance]]*Table4[[#This Row],[TICKET PRICE]]</f>
        <v>0</v>
      </c>
      <c r="N261" s="39"/>
      <c r="O261" s="39"/>
    </row>
    <row r="262" spans="1:15" hidden="1" x14ac:dyDescent="0.25">
      <c r="A262" s="4">
        <v>29</v>
      </c>
      <c r="B262" s="18">
        <v>46495</v>
      </c>
      <c r="C262" s="17">
        <v>0.6875</v>
      </c>
      <c r="D262" s="17"/>
      <c r="E262" s="17"/>
      <c r="F262" s="1" t="s">
        <v>371</v>
      </c>
      <c r="G262" s="1" t="s">
        <v>566</v>
      </c>
      <c r="H262" s="4" t="s">
        <v>654</v>
      </c>
      <c r="I262" s="5">
        <v>36000</v>
      </c>
      <c r="J262" s="5"/>
      <c r="K262" s="34" t="b">
        <v>0</v>
      </c>
      <c r="L262" s="35"/>
      <c r="M262" s="36">
        <f>Table4[[#This Row],[Attendance]]*Table4[[#This Row],[TICKET PRICE]]</f>
        <v>0</v>
      </c>
      <c r="N262" s="39"/>
      <c r="O262" s="39"/>
    </row>
    <row r="263" spans="1:15" hidden="1" x14ac:dyDescent="0.25">
      <c r="A263" s="4">
        <v>30</v>
      </c>
      <c r="B263" s="18">
        <v>46501</v>
      </c>
      <c r="C263" s="17">
        <v>0.52083333333333337</v>
      </c>
      <c r="D263" s="17"/>
      <c r="E263" s="17"/>
      <c r="F263" s="1" t="s">
        <v>260</v>
      </c>
      <c r="G263" s="1" t="s">
        <v>371</v>
      </c>
      <c r="H263" s="4" t="s">
        <v>655</v>
      </c>
      <c r="I263" s="5">
        <v>40000</v>
      </c>
      <c r="J263" s="5"/>
      <c r="K263" s="34" t="b">
        <v>0</v>
      </c>
      <c r="L263" s="35"/>
      <c r="M263" s="36">
        <f>Table4[[#This Row],[Attendance]]*Table4[[#This Row],[TICKET PRICE]]</f>
        <v>0</v>
      </c>
      <c r="N263" s="39"/>
      <c r="O263" s="39"/>
    </row>
    <row r="264" spans="1:15" hidden="1" x14ac:dyDescent="0.25">
      <c r="A264" s="4">
        <v>30</v>
      </c>
      <c r="B264" s="18">
        <v>46501</v>
      </c>
      <c r="C264" s="17">
        <v>0.625</v>
      </c>
      <c r="D264" s="17"/>
      <c r="E264" s="17"/>
      <c r="F264" s="1" t="s">
        <v>236</v>
      </c>
      <c r="G264" s="1" t="s">
        <v>139</v>
      </c>
      <c r="H264" s="4" t="s">
        <v>652</v>
      </c>
      <c r="I264" s="5">
        <v>35000</v>
      </c>
      <c r="J264" s="5"/>
      <c r="K264" s="34" t="b">
        <v>0</v>
      </c>
      <c r="L264" s="35"/>
      <c r="M264" s="36">
        <f>Table4[[#This Row],[Attendance]]*Table4[[#This Row],[TICKET PRICE]]</f>
        <v>0</v>
      </c>
      <c r="N264" s="39"/>
      <c r="O264" s="39"/>
    </row>
    <row r="265" spans="1:15" hidden="1" x14ac:dyDescent="0.25">
      <c r="A265" s="4">
        <v>30</v>
      </c>
      <c r="B265" s="18">
        <v>46501</v>
      </c>
      <c r="C265" s="17">
        <v>0.625</v>
      </c>
      <c r="D265" s="17"/>
      <c r="E265" s="17"/>
      <c r="F265" s="1" t="s">
        <v>305</v>
      </c>
      <c r="G265" s="1" t="s">
        <v>91</v>
      </c>
      <c r="H265" s="4" t="s">
        <v>646</v>
      </c>
      <c r="I265" s="5">
        <v>45000</v>
      </c>
      <c r="J265" s="5"/>
      <c r="K265" s="34" t="b">
        <v>0</v>
      </c>
      <c r="L265" s="35"/>
      <c r="M265" s="36">
        <f>Table4[[#This Row],[Attendance]]*Table4[[#This Row],[TICKET PRICE]]</f>
        <v>0</v>
      </c>
      <c r="N265" s="39"/>
      <c r="O265" s="39"/>
    </row>
    <row r="266" spans="1:15" hidden="1" x14ac:dyDescent="0.25">
      <c r="A266" s="4">
        <v>30</v>
      </c>
      <c r="B266" s="18">
        <v>46501</v>
      </c>
      <c r="C266" s="17">
        <v>0.625</v>
      </c>
      <c r="D266" s="17"/>
      <c r="E266" s="17"/>
      <c r="F266" s="1" t="s">
        <v>41</v>
      </c>
      <c r="G266" s="1" t="s">
        <v>350</v>
      </c>
      <c r="H266" s="4" t="s">
        <v>660</v>
      </c>
      <c r="I266" s="5">
        <v>70000</v>
      </c>
      <c r="J266" s="5"/>
      <c r="K266" s="34" t="b">
        <v>0</v>
      </c>
      <c r="L266" s="35"/>
      <c r="M266" s="36">
        <f>Table4[[#This Row],[Attendance]]*Table4[[#This Row],[TICKET PRICE]]</f>
        <v>0</v>
      </c>
      <c r="N266" s="39"/>
      <c r="O266" s="39"/>
    </row>
    <row r="267" spans="1:15" hidden="1" x14ac:dyDescent="0.25">
      <c r="A267" s="4">
        <v>30</v>
      </c>
      <c r="B267" s="18">
        <v>46501</v>
      </c>
      <c r="C267" s="17">
        <v>0.625</v>
      </c>
      <c r="D267" s="17"/>
      <c r="E267" s="17"/>
      <c r="F267" s="1" t="s">
        <v>186</v>
      </c>
      <c r="G267" s="1" t="s">
        <v>210</v>
      </c>
      <c r="H267" s="4" t="s">
        <v>647</v>
      </c>
      <c r="I267" s="5">
        <v>80000</v>
      </c>
      <c r="J267" s="5"/>
      <c r="K267" s="34" t="b">
        <v>0</v>
      </c>
      <c r="L267" s="35"/>
      <c r="M267" s="36">
        <f>Table4[[#This Row],[Attendance]]*Table4[[#This Row],[TICKET PRICE]]</f>
        <v>0</v>
      </c>
      <c r="N267" s="39"/>
      <c r="O267" s="39"/>
    </row>
    <row r="268" spans="1:15" hidden="1" x14ac:dyDescent="0.25">
      <c r="A268" s="4">
        <v>30</v>
      </c>
      <c r="B268" s="18">
        <v>46501</v>
      </c>
      <c r="C268" s="17">
        <v>0.72916666666666663</v>
      </c>
      <c r="D268" s="17"/>
      <c r="E268" s="17"/>
      <c r="F268" s="1" t="s">
        <v>557</v>
      </c>
      <c r="G268" s="1" t="s">
        <v>556</v>
      </c>
      <c r="H268" s="4" t="s">
        <v>644</v>
      </c>
      <c r="I268" s="5">
        <v>17000</v>
      </c>
      <c r="J268" s="5"/>
      <c r="K268" s="34" t="b">
        <v>0</v>
      </c>
      <c r="L268" s="35"/>
      <c r="M268" s="36">
        <f>Table4[[#This Row],[Attendance]]*Table4[[#This Row],[TICKET PRICE]]</f>
        <v>0</v>
      </c>
      <c r="N268" s="39"/>
      <c r="O268" s="39"/>
    </row>
    <row r="269" spans="1:15" hidden="1" x14ac:dyDescent="0.25">
      <c r="A269" s="4">
        <v>30</v>
      </c>
      <c r="B269" s="18">
        <v>46502</v>
      </c>
      <c r="C269" s="17">
        <v>0.58333333333333337</v>
      </c>
      <c r="D269" s="17"/>
      <c r="E269" s="17"/>
      <c r="F269" s="1" t="s">
        <v>566</v>
      </c>
      <c r="G269" s="1" t="s">
        <v>163</v>
      </c>
      <c r="H269" s="4" t="s">
        <v>643</v>
      </c>
      <c r="I269" s="5">
        <v>8000</v>
      </c>
      <c r="J269" s="5"/>
      <c r="K269" s="34" t="b">
        <v>0</v>
      </c>
      <c r="L269" s="35"/>
      <c r="M269" s="36">
        <f>Table4[[#This Row],[Attendance]]*Table4[[#This Row],[TICKET PRICE]]</f>
        <v>0</v>
      </c>
      <c r="N269" s="39"/>
      <c r="O269" s="39"/>
    </row>
    <row r="270" spans="1:15" hidden="1" x14ac:dyDescent="0.25">
      <c r="A270" s="4">
        <v>30</v>
      </c>
      <c r="B270" s="18">
        <v>46502</v>
      </c>
      <c r="C270" s="17">
        <v>0.58333333333333337</v>
      </c>
      <c r="D270" s="17"/>
      <c r="E270" s="17"/>
      <c r="F270" s="1" t="s">
        <v>114</v>
      </c>
      <c r="G270" s="1" t="s">
        <v>327</v>
      </c>
      <c r="H270" s="4" t="s">
        <v>645</v>
      </c>
      <c r="I270" s="5">
        <v>45000</v>
      </c>
      <c r="J270" s="5"/>
      <c r="K270" s="34" t="b">
        <v>0</v>
      </c>
      <c r="L270" s="35"/>
      <c r="M270" s="36">
        <f>Table4[[#This Row],[Attendance]]*Table4[[#This Row],[TICKET PRICE]]</f>
        <v>0</v>
      </c>
      <c r="N270" s="39"/>
      <c r="O270" s="39"/>
    </row>
    <row r="271" spans="1:15" hidden="1" x14ac:dyDescent="0.25">
      <c r="A271" s="4">
        <v>30</v>
      </c>
      <c r="B271" s="18">
        <v>46502</v>
      </c>
      <c r="C271" s="17">
        <v>0.6875</v>
      </c>
      <c r="D271" s="17"/>
      <c r="E271" s="17"/>
      <c r="F271" s="1" t="s">
        <v>66</v>
      </c>
      <c r="G271" s="1" t="s">
        <v>283</v>
      </c>
      <c r="H271" s="4" t="s">
        <v>659</v>
      </c>
      <c r="I271" s="5">
        <v>87000</v>
      </c>
      <c r="J271" s="5"/>
      <c r="K271" s="34" t="b">
        <v>0</v>
      </c>
      <c r="L271" s="35"/>
      <c r="M271" s="36">
        <f>Table4[[#This Row],[Attendance]]*Table4[[#This Row],[TICKET PRICE]]</f>
        <v>0</v>
      </c>
      <c r="N271" s="39"/>
      <c r="O271" s="39"/>
    </row>
    <row r="272" spans="1:15" hidden="1" x14ac:dyDescent="0.25">
      <c r="A272" s="4">
        <v>31</v>
      </c>
      <c r="B272" s="18">
        <v>46508</v>
      </c>
      <c r="C272" s="17">
        <v>0.52083333333333337</v>
      </c>
      <c r="D272" s="17"/>
      <c r="E272" s="17"/>
      <c r="F272" s="1" t="s">
        <v>327</v>
      </c>
      <c r="G272" s="1" t="s">
        <v>66</v>
      </c>
      <c r="H272" s="4" t="s">
        <v>651</v>
      </c>
      <c r="I272" s="5">
        <v>40000</v>
      </c>
      <c r="J272" s="5"/>
      <c r="K272" s="34" t="b">
        <v>0</v>
      </c>
      <c r="L272" s="35"/>
      <c r="M272" s="36">
        <f>Table4[[#This Row],[Attendance]]*Table4[[#This Row],[TICKET PRICE]]</f>
        <v>0</v>
      </c>
      <c r="N272" s="39"/>
      <c r="O272" s="39"/>
    </row>
    <row r="273" spans="1:15" hidden="1" x14ac:dyDescent="0.25">
      <c r="A273" s="4">
        <v>31</v>
      </c>
      <c r="B273" s="18">
        <v>46508</v>
      </c>
      <c r="C273" s="17">
        <v>0.625</v>
      </c>
      <c r="D273" s="17"/>
      <c r="E273" s="17"/>
      <c r="F273" s="1" t="s">
        <v>350</v>
      </c>
      <c r="G273" s="1" t="s">
        <v>236</v>
      </c>
      <c r="H273" s="4" t="s">
        <v>648</v>
      </c>
      <c r="I273" s="5">
        <v>23000</v>
      </c>
      <c r="J273" s="5"/>
      <c r="K273" s="34" t="b">
        <v>0</v>
      </c>
      <c r="L273" s="35"/>
      <c r="M273" s="36">
        <f>Table4[[#This Row],[Attendance]]*Table4[[#This Row],[TICKET PRICE]]</f>
        <v>0</v>
      </c>
      <c r="N273" s="39"/>
      <c r="O273" s="39"/>
    </row>
    <row r="274" spans="1:15" hidden="1" x14ac:dyDescent="0.25">
      <c r="A274" s="4">
        <v>31</v>
      </c>
      <c r="B274" s="18">
        <v>46508</v>
      </c>
      <c r="C274" s="17">
        <v>0.625</v>
      </c>
      <c r="D274" s="17"/>
      <c r="E274" s="17"/>
      <c r="F274" s="1" t="s">
        <v>139</v>
      </c>
      <c r="G274" s="1" t="s">
        <v>186</v>
      </c>
      <c r="H274" s="4" t="s">
        <v>653</v>
      </c>
      <c r="I274" s="5">
        <v>65000</v>
      </c>
      <c r="J274" s="5"/>
      <c r="K274" s="34" t="b">
        <v>0</v>
      </c>
      <c r="L274" s="35"/>
      <c r="M274" s="36">
        <f>Table4[[#This Row],[Attendance]]*Table4[[#This Row],[TICKET PRICE]]</f>
        <v>0</v>
      </c>
      <c r="N274" s="39"/>
      <c r="O274" s="39"/>
    </row>
    <row r="275" spans="1:15" hidden="1" x14ac:dyDescent="0.25">
      <c r="A275" s="4">
        <v>31</v>
      </c>
      <c r="B275" s="18">
        <v>46508</v>
      </c>
      <c r="C275" s="17">
        <v>0.625</v>
      </c>
      <c r="D275" s="17"/>
      <c r="E275" s="17"/>
      <c r="F275" s="1" t="s">
        <v>283</v>
      </c>
      <c r="G275" s="1" t="s">
        <v>557</v>
      </c>
      <c r="H275" s="4" t="s">
        <v>650</v>
      </c>
      <c r="I275" s="5">
        <v>55000</v>
      </c>
      <c r="J275" s="5"/>
      <c r="K275" s="34" t="b">
        <v>0</v>
      </c>
      <c r="L275" s="35"/>
      <c r="M275" s="36">
        <f>Table4[[#This Row],[Attendance]]*Table4[[#This Row],[TICKET PRICE]]</f>
        <v>0</v>
      </c>
      <c r="N275" s="39"/>
      <c r="O275" s="39"/>
    </row>
    <row r="276" spans="1:15" hidden="1" x14ac:dyDescent="0.25">
      <c r="A276" s="4">
        <v>31</v>
      </c>
      <c r="B276" s="18">
        <v>46508</v>
      </c>
      <c r="C276" s="17">
        <v>0.625</v>
      </c>
      <c r="D276" s="17"/>
      <c r="E276" s="17"/>
      <c r="F276" s="1" t="s">
        <v>114</v>
      </c>
      <c r="G276" s="1" t="s">
        <v>305</v>
      </c>
      <c r="H276" s="4" t="s">
        <v>645</v>
      </c>
      <c r="I276" s="5">
        <v>45000</v>
      </c>
      <c r="J276" s="5"/>
      <c r="K276" s="34" t="b">
        <v>0</v>
      </c>
      <c r="L276" s="35"/>
      <c r="M276" s="36">
        <f>Table4[[#This Row],[Attendance]]*Table4[[#This Row],[TICKET PRICE]]</f>
        <v>0</v>
      </c>
      <c r="N276" s="39"/>
      <c r="O276" s="39"/>
    </row>
    <row r="277" spans="1:15" hidden="1" x14ac:dyDescent="0.25">
      <c r="A277" s="4">
        <v>31</v>
      </c>
      <c r="B277" s="18">
        <v>46508</v>
      </c>
      <c r="C277" s="17">
        <v>0.72916666666666663</v>
      </c>
      <c r="D277" s="17"/>
      <c r="E277" s="17"/>
      <c r="F277" s="1" t="s">
        <v>91</v>
      </c>
      <c r="G277" s="1" t="s">
        <v>566</v>
      </c>
      <c r="H277" s="4" t="s">
        <v>658</v>
      </c>
      <c r="I277" s="5">
        <v>87000</v>
      </c>
      <c r="J277" s="5"/>
      <c r="K277" s="34" t="b">
        <v>0</v>
      </c>
      <c r="L277" s="35"/>
      <c r="M277" s="36">
        <f>Table4[[#This Row],[Attendance]]*Table4[[#This Row],[TICKET PRICE]]</f>
        <v>0</v>
      </c>
      <c r="N277" s="39"/>
      <c r="O277" s="39"/>
    </row>
    <row r="278" spans="1:15" hidden="1" x14ac:dyDescent="0.25">
      <c r="A278" s="4">
        <v>31</v>
      </c>
      <c r="B278" s="18">
        <v>46509</v>
      </c>
      <c r="C278" s="17">
        <v>0.58333333333333337</v>
      </c>
      <c r="D278" s="17"/>
      <c r="E278" s="17"/>
      <c r="F278" s="1" t="s">
        <v>163</v>
      </c>
      <c r="G278" s="1" t="s">
        <v>260</v>
      </c>
      <c r="H278" s="4" t="s">
        <v>656</v>
      </c>
      <c r="I278" s="5">
        <v>100000</v>
      </c>
      <c r="J278" s="5"/>
      <c r="K278" s="34" t="b">
        <v>0</v>
      </c>
      <c r="L278" s="35"/>
      <c r="M278" s="36">
        <f>Table4[[#This Row],[Attendance]]*Table4[[#This Row],[TICKET PRICE]]</f>
        <v>0</v>
      </c>
      <c r="N278" s="39"/>
      <c r="O278" s="39"/>
    </row>
    <row r="279" spans="1:15" hidden="1" x14ac:dyDescent="0.25">
      <c r="A279" s="4">
        <v>31</v>
      </c>
      <c r="B279" s="18">
        <v>46509</v>
      </c>
      <c r="C279" s="17">
        <v>0.58333333333333337</v>
      </c>
      <c r="D279" s="17"/>
      <c r="E279" s="17"/>
      <c r="F279" s="1" t="s">
        <v>556</v>
      </c>
      <c r="G279" s="1" t="s">
        <v>210</v>
      </c>
      <c r="H279" s="4" t="s">
        <v>642</v>
      </c>
      <c r="I279" s="5">
        <v>29700</v>
      </c>
      <c r="J279" s="5"/>
      <c r="K279" s="34" t="b">
        <v>0</v>
      </c>
      <c r="L279" s="35"/>
      <c r="M279" s="36">
        <f>Table4[[#This Row],[Attendance]]*Table4[[#This Row],[TICKET PRICE]]</f>
        <v>0</v>
      </c>
      <c r="N279" s="39"/>
      <c r="O279" s="39"/>
    </row>
    <row r="280" spans="1:15" hidden="1" x14ac:dyDescent="0.25">
      <c r="A280" s="4">
        <v>31</v>
      </c>
      <c r="B280" s="18">
        <v>46509</v>
      </c>
      <c r="C280" s="17">
        <v>0.6875</v>
      </c>
      <c r="D280" s="17"/>
      <c r="E280" s="17"/>
      <c r="F280" s="1" t="s">
        <v>41</v>
      </c>
      <c r="G280" s="1" t="s">
        <v>371</v>
      </c>
      <c r="H280" s="4" t="s">
        <v>660</v>
      </c>
      <c r="I280" s="5">
        <v>70000</v>
      </c>
      <c r="J280" s="5"/>
      <c r="K280" s="34" t="b">
        <v>0</v>
      </c>
      <c r="L280" s="35"/>
      <c r="M280" s="36">
        <f>Table4[[#This Row],[Attendance]]*Table4[[#This Row],[TICKET PRICE]]</f>
        <v>0</v>
      </c>
      <c r="N280" s="39"/>
      <c r="O280" s="39"/>
    </row>
    <row r="281" spans="1:15" hidden="1" x14ac:dyDescent="0.25">
      <c r="A281" s="4">
        <v>32</v>
      </c>
      <c r="B281" s="18">
        <v>46515</v>
      </c>
      <c r="C281" s="17">
        <v>0.52083333333333337</v>
      </c>
      <c r="D281" s="17"/>
      <c r="E281" s="17"/>
      <c r="F281" s="1" t="s">
        <v>260</v>
      </c>
      <c r="G281" s="1" t="s">
        <v>91</v>
      </c>
      <c r="H281" s="4" t="s">
        <v>655</v>
      </c>
      <c r="I281" s="5">
        <v>40000</v>
      </c>
      <c r="J281" s="5"/>
      <c r="K281" s="34" t="b">
        <v>0</v>
      </c>
      <c r="L281" s="35"/>
      <c r="M281" s="36">
        <f>Table4[[#This Row],[Attendance]]*Table4[[#This Row],[TICKET PRICE]]</f>
        <v>0</v>
      </c>
      <c r="N281" s="39"/>
      <c r="O281" s="39"/>
    </row>
    <row r="282" spans="1:15" hidden="1" x14ac:dyDescent="0.25">
      <c r="A282" s="4">
        <v>32</v>
      </c>
      <c r="B282" s="18">
        <v>46515</v>
      </c>
      <c r="C282" s="17">
        <v>0.625</v>
      </c>
      <c r="D282" s="17"/>
      <c r="E282" s="17"/>
      <c r="F282" s="1" t="s">
        <v>566</v>
      </c>
      <c r="G282" s="1" t="s">
        <v>114</v>
      </c>
      <c r="H282" s="4" t="s">
        <v>643</v>
      </c>
      <c r="I282" s="5">
        <v>8000</v>
      </c>
      <c r="J282" s="5"/>
      <c r="K282" s="34" t="b">
        <v>0</v>
      </c>
      <c r="L282" s="35"/>
      <c r="M282" s="36">
        <f>Table4[[#This Row],[Attendance]]*Table4[[#This Row],[TICKET PRICE]]</f>
        <v>0</v>
      </c>
      <c r="N282" s="39"/>
      <c r="O282" s="39"/>
    </row>
    <row r="283" spans="1:15" hidden="1" x14ac:dyDescent="0.25">
      <c r="A283" s="4">
        <v>32</v>
      </c>
      <c r="B283" s="18">
        <v>46515</v>
      </c>
      <c r="C283" s="17">
        <v>0.625</v>
      </c>
      <c r="D283" s="17"/>
      <c r="E283" s="17"/>
      <c r="F283" s="1" t="s">
        <v>210</v>
      </c>
      <c r="G283" s="1" t="s">
        <v>283</v>
      </c>
      <c r="H283" s="4" t="s">
        <v>657</v>
      </c>
      <c r="I283" s="5">
        <v>70000</v>
      </c>
      <c r="J283" s="5"/>
      <c r="K283" s="34" t="b">
        <v>0</v>
      </c>
      <c r="L283" s="35"/>
      <c r="M283" s="36">
        <f>Table4[[#This Row],[Attendance]]*Table4[[#This Row],[TICKET PRICE]]</f>
        <v>0</v>
      </c>
      <c r="N283" s="39"/>
      <c r="O283" s="39"/>
    </row>
    <row r="284" spans="1:15" hidden="1" x14ac:dyDescent="0.25">
      <c r="A284" s="4">
        <v>32</v>
      </c>
      <c r="B284" s="18">
        <v>46515</v>
      </c>
      <c r="C284" s="17">
        <v>0.625</v>
      </c>
      <c r="D284" s="17"/>
      <c r="E284" s="17"/>
      <c r="F284" s="1" t="s">
        <v>556</v>
      </c>
      <c r="G284" s="1" t="s">
        <v>139</v>
      </c>
      <c r="H284" s="4" t="s">
        <v>642</v>
      </c>
      <c r="I284" s="5">
        <v>29700</v>
      </c>
      <c r="J284" s="5"/>
      <c r="K284" s="34" t="b">
        <v>0</v>
      </c>
      <c r="L284" s="35"/>
      <c r="M284" s="36">
        <f>Table4[[#This Row],[Attendance]]*Table4[[#This Row],[TICKET PRICE]]</f>
        <v>0</v>
      </c>
      <c r="N284" s="39"/>
      <c r="O284" s="39"/>
    </row>
    <row r="285" spans="1:15" hidden="1" x14ac:dyDescent="0.25">
      <c r="A285" s="4">
        <v>32</v>
      </c>
      <c r="B285" s="18">
        <v>46515</v>
      </c>
      <c r="C285" s="17">
        <v>0.625</v>
      </c>
      <c r="D285" s="17"/>
      <c r="E285" s="17"/>
      <c r="F285" s="1" t="s">
        <v>236</v>
      </c>
      <c r="G285" s="1" t="s">
        <v>41</v>
      </c>
      <c r="H285" s="4" t="s">
        <v>652</v>
      </c>
      <c r="I285" s="5">
        <v>35000</v>
      </c>
      <c r="J285" s="5"/>
      <c r="K285" s="34" t="b">
        <v>0</v>
      </c>
      <c r="L285" s="35"/>
      <c r="M285" s="36">
        <f>Table4[[#This Row],[Attendance]]*Table4[[#This Row],[TICKET PRICE]]</f>
        <v>0</v>
      </c>
      <c r="N285" s="39"/>
      <c r="O285" s="39"/>
    </row>
    <row r="286" spans="1:15" hidden="1" x14ac:dyDescent="0.25">
      <c r="A286" s="4">
        <v>32</v>
      </c>
      <c r="B286" s="18">
        <v>46515</v>
      </c>
      <c r="C286" s="17">
        <v>0.72916666666666663</v>
      </c>
      <c r="D286" s="17"/>
      <c r="E286" s="17"/>
      <c r="F286" s="1" t="s">
        <v>327</v>
      </c>
      <c r="G286" s="1" t="s">
        <v>557</v>
      </c>
      <c r="H286" s="4" t="s">
        <v>651</v>
      </c>
      <c r="I286" s="5">
        <v>40000</v>
      </c>
      <c r="J286" s="5"/>
      <c r="K286" s="34" t="b">
        <v>0</v>
      </c>
      <c r="L286" s="35"/>
      <c r="M286" s="36">
        <f>Table4[[#This Row],[Attendance]]*Table4[[#This Row],[TICKET PRICE]]</f>
        <v>0</v>
      </c>
      <c r="N286" s="39"/>
      <c r="O286" s="39"/>
    </row>
    <row r="287" spans="1:15" hidden="1" x14ac:dyDescent="0.25">
      <c r="A287" s="4">
        <v>32</v>
      </c>
      <c r="B287" s="18">
        <v>46516</v>
      </c>
      <c r="C287" s="17">
        <v>0.58333333333333337</v>
      </c>
      <c r="D287" s="17"/>
      <c r="E287" s="17"/>
      <c r="F287" s="1" t="s">
        <v>371</v>
      </c>
      <c r="G287" s="1" t="s">
        <v>163</v>
      </c>
      <c r="H287" s="4" t="s">
        <v>654</v>
      </c>
      <c r="I287" s="5">
        <v>36000</v>
      </c>
      <c r="J287" s="5"/>
      <c r="K287" s="34" t="b">
        <v>0</v>
      </c>
      <c r="L287" s="35"/>
      <c r="M287" s="36">
        <f>Table4[[#This Row],[Attendance]]*Table4[[#This Row],[TICKET PRICE]]</f>
        <v>0</v>
      </c>
      <c r="N287" s="39"/>
      <c r="O287" s="39"/>
    </row>
    <row r="288" spans="1:15" hidden="1" x14ac:dyDescent="0.25">
      <c r="A288" s="4">
        <v>32</v>
      </c>
      <c r="B288" s="18">
        <v>46516</v>
      </c>
      <c r="C288" s="17">
        <v>0.58333333333333337</v>
      </c>
      <c r="D288" s="17"/>
      <c r="E288" s="17"/>
      <c r="F288" s="1" t="s">
        <v>305</v>
      </c>
      <c r="G288" s="1" t="s">
        <v>66</v>
      </c>
      <c r="H288" s="4" t="s">
        <v>646</v>
      </c>
      <c r="I288" s="5">
        <v>45000</v>
      </c>
      <c r="J288" s="5"/>
      <c r="K288" s="34" t="b">
        <v>0</v>
      </c>
      <c r="L288" s="35"/>
      <c r="M288" s="36">
        <f>Table4[[#This Row],[Attendance]]*Table4[[#This Row],[TICKET PRICE]]</f>
        <v>0</v>
      </c>
      <c r="N288" s="39"/>
      <c r="O288" s="39"/>
    </row>
    <row r="289" spans="1:15" hidden="1" x14ac:dyDescent="0.25">
      <c r="A289" s="4">
        <v>32</v>
      </c>
      <c r="B289" s="18">
        <v>46516</v>
      </c>
      <c r="C289" s="17">
        <v>0.6875</v>
      </c>
      <c r="D289" s="17"/>
      <c r="E289" s="17"/>
      <c r="F289" s="1" t="s">
        <v>186</v>
      </c>
      <c r="G289" s="1" t="s">
        <v>350</v>
      </c>
      <c r="H289" s="4" t="s">
        <v>647</v>
      </c>
      <c r="I289" s="5">
        <v>80000</v>
      </c>
      <c r="J289" s="5"/>
      <c r="K289" s="34" t="b">
        <v>0</v>
      </c>
      <c r="L289" s="35"/>
      <c r="M289" s="36">
        <f>Table4[[#This Row],[Attendance]]*Table4[[#This Row],[TICKET PRICE]]</f>
        <v>0</v>
      </c>
      <c r="N289" s="39"/>
      <c r="O289" s="39"/>
    </row>
    <row r="290" spans="1:15" hidden="1" x14ac:dyDescent="0.25">
      <c r="A290" s="4">
        <v>33</v>
      </c>
      <c r="B290" s="18">
        <v>46522</v>
      </c>
      <c r="C290" s="17">
        <v>0.52083333333333337</v>
      </c>
      <c r="D290" s="17"/>
      <c r="E290" s="17"/>
      <c r="F290" s="1" t="s">
        <v>350</v>
      </c>
      <c r="G290" s="1" t="s">
        <v>556</v>
      </c>
      <c r="H290" s="4" t="s">
        <v>648</v>
      </c>
      <c r="I290" s="5">
        <v>23000</v>
      </c>
      <c r="J290" s="5"/>
      <c r="K290" s="34" t="b">
        <v>0</v>
      </c>
      <c r="L290" s="35"/>
      <c r="M290" s="36">
        <f>Table4[[#This Row],[Attendance]]*Table4[[#This Row],[TICKET PRICE]]</f>
        <v>0</v>
      </c>
      <c r="N290" s="39"/>
      <c r="O290" s="39"/>
    </row>
    <row r="291" spans="1:15" hidden="1" x14ac:dyDescent="0.25">
      <c r="A291" s="4">
        <v>33</v>
      </c>
      <c r="B291" s="18">
        <v>46522</v>
      </c>
      <c r="C291" s="17">
        <v>0.625</v>
      </c>
      <c r="D291" s="17"/>
      <c r="E291" s="17"/>
      <c r="F291" s="1" t="s">
        <v>236</v>
      </c>
      <c r="G291" s="1" t="s">
        <v>186</v>
      </c>
      <c r="H291" s="4" t="s">
        <v>652</v>
      </c>
      <c r="I291" s="5">
        <v>35000</v>
      </c>
      <c r="J291" s="5"/>
      <c r="K291" s="34" t="b">
        <v>0</v>
      </c>
      <c r="L291" s="35"/>
      <c r="M291" s="36">
        <f>Table4[[#This Row],[Attendance]]*Table4[[#This Row],[TICKET PRICE]]</f>
        <v>0</v>
      </c>
      <c r="N291" s="39"/>
      <c r="O291" s="39"/>
    </row>
    <row r="292" spans="1:15" hidden="1" x14ac:dyDescent="0.25">
      <c r="A292" s="4">
        <v>33</v>
      </c>
      <c r="B292" s="18">
        <v>46522</v>
      </c>
      <c r="C292" s="17">
        <v>0.625</v>
      </c>
      <c r="D292" s="17"/>
      <c r="E292" s="17"/>
      <c r="F292" s="1" t="s">
        <v>210</v>
      </c>
      <c r="G292" s="1" t="s">
        <v>327</v>
      </c>
      <c r="H292" s="4" t="s">
        <v>657</v>
      </c>
      <c r="I292" s="5">
        <v>70000</v>
      </c>
      <c r="J292" s="5"/>
      <c r="K292" s="34" t="b">
        <v>0</v>
      </c>
      <c r="L292" s="35"/>
      <c r="M292" s="36">
        <f>Table4[[#This Row],[Attendance]]*Table4[[#This Row],[TICKET PRICE]]</f>
        <v>0</v>
      </c>
      <c r="N292" s="39"/>
      <c r="O292" s="39"/>
    </row>
    <row r="293" spans="1:15" hidden="1" x14ac:dyDescent="0.25">
      <c r="A293" s="4">
        <v>33</v>
      </c>
      <c r="B293" s="18">
        <v>46522</v>
      </c>
      <c r="C293" s="17">
        <v>0.625</v>
      </c>
      <c r="D293" s="17"/>
      <c r="E293" s="17"/>
      <c r="F293" s="1" t="s">
        <v>139</v>
      </c>
      <c r="G293" s="1" t="s">
        <v>283</v>
      </c>
      <c r="H293" s="4" t="s">
        <v>653</v>
      </c>
      <c r="I293" s="5">
        <v>65000</v>
      </c>
      <c r="J293" s="5"/>
      <c r="K293" s="34" t="b">
        <v>0</v>
      </c>
      <c r="L293" s="35"/>
      <c r="M293" s="36">
        <f>Table4[[#This Row],[Attendance]]*Table4[[#This Row],[TICKET PRICE]]</f>
        <v>0</v>
      </c>
      <c r="N293" s="39"/>
      <c r="O293" s="39"/>
    </row>
    <row r="294" spans="1:15" hidden="1" x14ac:dyDescent="0.25">
      <c r="A294" s="4">
        <v>33</v>
      </c>
      <c r="B294" s="18">
        <v>46522</v>
      </c>
      <c r="C294" s="17">
        <v>0.625</v>
      </c>
      <c r="D294" s="17"/>
      <c r="E294" s="17"/>
      <c r="F294" s="1" t="s">
        <v>66</v>
      </c>
      <c r="G294" s="1" t="s">
        <v>566</v>
      </c>
      <c r="H294" s="4" t="s">
        <v>659</v>
      </c>
      <c r="I294" s="5">
        <v>87000</v>
      </c>
      <c r="J294" s="5"/>
      <c r="K294" s="34" t="b">
        <v>0</v>
      </c>
      <c r="L294" s="35"/>
      <c r="M294" s="36">
        <f>Table4[[#This Row],[Attendance]]*Table4[[#This Row],[TICKET PRICE]]</f>
        <v>0</v>
      </c>
      <c r="N294" s="39"/>
      <c r="O294" s="39"/>
    </row>
    <row r="295" spans="1:15" hidden="1" x14ac:dyDescent="0.25">
      <c r="A295" s="4">
        <v>33</v>
      </c>
      <c r="B295" s="18">
        <v>46522</v>
      </c>
      <c r="C295" s="17">
        <v>0.72916666666666663</v>
      </c>
      <c r="D295" s="17"/>
      <c r="E295" s="17"/>
      <c r="F295" s="1" t="s">
        <v>114</v>
      </c>
      <c r="G295" s="1" t="s">
        <v>260</v>
      </c>
      <c r="H295" s="4" t="s">
        <v>645</v>
      </c>
      <c r="I295" s="5">
        <v>45000</v>
      </c>
      <c r="J295" s="5"/>
      <c r="K295" s="34" t="b">
        <v>0</v>
      </c>
      <c r="L295" s="35"/>
      <c r="M295" s="36">
        <f>Table4[[#This Row],[Attendance]]*Table4[[#This Row],[TICKET PRICE]]</f>
        <v>0</v>
      </c>
      <c r="N295" s="39"/>
      <c r="O295" s="39"/>
    </row>
    <row r="296" spans="1:15" hidden="1" x14ac:dyDescent="0.25">
      <c r="A296" s="4">
        <v>33</v>
      </c>
      <c r="B296" s="18">
        <v>46523</v>
      </c>
      <c r="C296" s="17">
        <v>0.58333333333333337</v>
      </c>
      <c r="D296" s="17"/>
      <c r="E296" s="17"/>
      <c r="F296" s="1" t="s">
        <v>91</v>
      </c>
      <c r="G296" s="1" t="s">
        <v>371</v>
      </c>
      <c r="H296" s="4" t="s">
        <v>658</v>
      </c>
      <c r="I296" s="5">
        <v>87000</v>
      </c>
      <c r="J296" s="5"/>
      <c r="K296" s="34" t="b">
        <v>0</v>
      </c>
      <c r="L296" s="35"/>
      <c r="M296" s="36">
        <f>Table4[[#This Row],[Attendance]]*Table4[[#This Row],[TICKET PRICE]]</f>
        <v>0</v>
      </c>
      <c r="N296" s="39"/>
      <c r="O296" s="39"/>
    </row>
    <row r="297" spans="1:15" hidden="1" x14ac:dyDescent="0.25">
      <c r="A297" s="4">
        <v>33</v>
      </c>
      <c r="B297" s="18">
        <v>46523</v>
      </c>
      <c r="C297" s="17">
        <v>0.58333333333333337</v>
      </c>
      <c r="D297" s="17"/>
      <c r="E297" s="17"/>
      <c r="F297" s="1" t="s">
        <v>41</v>
      </c>
      <c r="G297" s="1" t="s">
        <v>163</v>
      </c>
      <c r="H297" s="4" t="s">
        <v>660</v>
      </c>
      <c r="I297" s="5">
        <v>70000</v>
      </c>
      <c r="J297" s="5"/>
      <c r="K297" s="34" t="b">
        <v>0</v>
      </c>
      <c r="L297" s="35"/>
      <c r="M297" s="36">
        <f>Table4[[#This Row],[Attendance]]*Table4[[#This Row],[TICKET PRICE]]</f>
        <v>0</v>
      </c>
      <c r="N297" s="39"/>
      <c r="O297" s="39"/>
    </row>
    <row r="298" spans="1:15" hidden="1" x14ac:dyDescent="0.25">
      <c r="A298" s="4">
        <v>33</v>
      </c>
      <c r="B298" s="18">
        <v>46523</v>
      </c>
      <c r="C298" s="17">
        <v>0.6875</v>
      </c>
      <c r="D298" s="17"/>
      <c r="E298" s="17"/>
      <c r="F298" s="1" t="s">
        <v>557</v>
      </c>
      <c r="G298" s="1" t="s">
        <v>305</v>
      </c>
      <c r="H298" s="4" t="s">
        <v>644</v>
      </c>
      <c r="I298" s="5">
        <v>17000</v>
      </c>
      <c r="J298" s="5"/>
      <c r="K298" s="34" t="b">
        <v>0</v>
      </c>
      <c r="L298" s="35"/>
      <c r="M298" s="36">
        <f>Table4[[#This Row],[Attendance]]*Table4[[#This Row],[TICKET PRICE]]</f>
        <v>0</v>
      </c>
      <c r="N298" s="39"/>
      <c r="O298" s="39"/>
    </row>
    <row r="299" spans="1:15" hidden="1" x14ac:dyDescent="0.25">
      <c r="A299" s="4">
        <v>34</v>
      </c>
      <c r="B299" s="18">
        <v>46530</v>
      </c>
      <c r="C299" s="17">
        <v>0.66666666666666663</v>
      </c>
      <c r="D299" s="17"/>
      <c r="E299" s="17"/>
      <c r="F299" s="1" t="s">
        <v>163</v>
      </c>
      <c r="G299" s="1" t="s">
        <v>91</v>
      </c>
      <c r="H299" s="4" t="s">
        <v>656</v>
      </c>
      <c r="I299" s="5">
        <v>100000</v>
      </c>
      <c r="J299" s="5"/>
      <c r="K299" s="34" t="b">
        <v>0</v>
      </c>
      <c r="L299" s="35"/>
      <c r="M299" s="36">
        <f>Table4[[#This Row],[Attendance]]*Table4[[#This Row],[TICKET PRICE]]</f>
        <v>0</v>
      </c>
      <c r="N299" s="39"/>
      <c r="O299" s="39"/>
    </row>
    <row r="300" spans="1:15" hidden="1" x14ac:dyDescent="0.25">
      <c r="A300" s="4">
        <v>34</v>
      </c>
      <c r="B300" s="18">
        <v>46530</v>
      </c>
      <c r="C300" s="17">
        <v>0.66666666666666663</v>
      </c>
      <c r="D300" s="17"/>
      <c r="E300" s="17"/>
      <c r="F300" s="1" t="s">
        <v>305</v>
      </c>
      <c r="G300" s="1" t="s">
        <v>210</v>
      </c>
      <c r="H300" s="4" t="s">
        <v>646</v>
      </c>
      <c r="I300" s="5">
        <v>45000</v>
      </c>
      <c r="J300" s="5"/>
      <c r="K300" s="34" t="b">
        <v>0</v>
      </c>
      <c r="L300" s="35"/>
      <c r="M300" s="36">
        <f>Table4[[#This Row],[Attendance]]*Table4[[#This Row],[TICKET PRICE]]</f>
        <v>0</v>
      </c>
      <c r="N300" s="39"/>
      <c r="O300" s="39"/>
    </row>
    <row r="301" spans="1:15" hidden="1" x14ac:dyDescent="0.25">
      <c r="A301" s="4">
        <v>34</v>
      </c>
      <c r="B301" s="18">
        <v>46530</v>
      </c>
      <c r="C301" s="17">
        <v>0.66666666666666663</v>
      </c>
      <c r="D301" s="17"/>
      <c r="E301" s="17"/>
      <c r="F301" s="1" t="s">
        <v>327</v>
      </c>
      <c r="G301" s="1" t="s">
        <v>139</v>
      </c>
      <c r="H301" s="4" t="s">
        <v>651</v>
      </c>
      <c r="I301" s="5">
        <v>40000</v>
      </c>
      <c r="J301" s="5"/>
      <c r="K301" s="34" t="b">
        <v>0</v>
      </c>
      <c r="L301" s="35"/>
      <c r="M301" s="36">
        <f>Table4[[#This Row],[Attendance]]*Table4[[#This Row],[TICKET PRICE]]</f>
        <v>0</v>
      </c>
      <c r="N301" s="39"/>
      <c r="O301" s="39"/>
    </row>
    <row r="302" spans="1:15" hidden="1" x14ac:dyDescent="0.25">
      <c r="A302" s="4">
        <v>34</v>
      </c>
      <c r="B302" s="18">
        <v>46530</v>
      </c>
      <c r="C302" s="17">
        <v>0.66666666666666663</v>
      </c>
      <c r="D302" s="17"/>
      <c r="E302" s="17"/>
      <c r="F302" s="1" t="s">
        <v>283</v>
      </c>
      <c r="G302" s="1" t="s">
        <v>350</v>
      </c>
      <c r="H302" s="4" t="s">
        <v>650</v>
      </c>
      <c r="I302" s="5">
        <v>55000</v>
      </c>
      <c r="J302" s="5"/>
      <c r="K302" s="34" t="b">
        <v>0</v>
      </c>
      <c r="L302" s="35"/>
      <c r="M302" s="36">
        <f>Table4[[#This Row],[Attendance]]*Table4[[#This Row],[TICKET PRICE]]</f>
        <v>0</v>
      </c>
      <c r="N302" s="39"/>
      <c r="O302" s="39"/>
    </row>
    <row r="303" spans="1:15" hidden="1" x14ac:dyDescent="0.25">
      <c r="A303" s="4">
        <v>34</v>
      </c>
      <c r="B303" s="18">
        <v>46530</v>
      </c>
      <c r="C303" s="17">
        <v>0.66666666666666663</v>
      </c>
      <c r="D303" s="17"/>
      <c r="E303" s="17"/>
      <c r="F303" s="1" t="s">
        <v>556</v>
      </c>
      <c r="G303" s="1" t="s">
        <v>236</v>
      </c>
      <c r="H303" s="4" t="s">
        <v>642</v>
      </c>
      <c r="I303" s="5">
        <v>29700</v>
      </c>
      <c r="J303" s="5"/>
      <c r="K303" s="34" t="b">
        <v>0</v>
      </c>
      <c r="L303" s="35"/>
      <c r="M303" s="36">
        <f>Table4[[#This Row],[Attendance]]*Table4[[#This Row],[TICKET PRICE]]</f>
        <v>0</v>
      </c>
      <c r="N303" s="39"/>
      <c r="O303" s="39"/>
    </row>
    <row r="304" spans="1:15" hidden="1" x14ac:dyDescent="0.25">
      <c r="A304" s="4">
        <v>34</v>
      </c>
      <c r="B304" s="18">
        <v>46530</v>
      </c>
      <c r="C304" s="17">
        <v>0.66666666666666663</v>
      </c>
      <c r="D304" s="17"/>
      <c r="E304" s="17"/>
      <c r="F304" s="1" t="s">
        <v>566</v>
      </c>
      <c r="G304" s="1" t="s">
        <v>557</v>
      </c>
      <c r="H304" s="4" t="s">
        <v>643</v>
      </c>
      <c r="I304" s="5">
        <v>8000</v>
      </c>
      <c r="J304" s="5"/>
      <c r="K304" s="34" t="b">
        <v>0</v>
      </c>
      <c r="L304" s="35"/>
      <c r="M304" s="36">
        <f>Table4[[#This Row],[Attendance]]*Table4[[#This Row],[TICKET PRICE]]</f>
        <v>0</v>
      </c>
      <c r="N304" s="39"/>
      <c r="O304" s="39"/>
    </row>
    <row r="305" spans="1:15" hidden="1" x14ac:dyDescent="0.25">
      <c r="A305" s="4">
        <v>34</v>
      </c>
      <c r="B305" s="18">
        <v>46530</v>
      </c>
      <c r="C305" s="17">
        <v>0.66666666666666663</v>
      </c>
      <c r="D305" s="17"/>
      <c r="E305" s="17"/>
      <c r="F305" s="1" t="s">
        <v>260</v>
      </c>
      <c r="G305" s="1" t="s">
        <v>66</v>
      </c>
      <c r="H305" s="4" t="s">
        <v>655</v>
      </c>
      <c r="I305" s="5">
        <v>40000</v>
      </c>
      <c r="J305" s="5"/>
      <c r="K305" s="34" t="b">
        <v>0</v>
      </c>
      <c r="L305" s="35"/>
      <c r="M305" s="36">
        <f>Table4[[#This Row],[Attendance]]*Table4[[#This Row],[TICKET PRICE]]</f>
        <v>0</v>
      </c>
      <c r="N305" s="39"/>
      <c r="O305" s="39"/>
    </row>
    <row r="306" spans="1:15" hidden="1" x14ac:dyDescent="0.25">
      <c r="A306" s="4">
        <v>34</v>
      </c>
      <c r="B306" s="18">
        <v>46530</v>
      </c>
      <c r="C306" s="17">
        <v>0.66666666666666663</v>
      </c>
      <c r="D306" s="17"/>
      <c r="E306" s="17"/>
      <c r="F306" s="1" t="s">
        <v>371</v>
      </c>
      <c r="G306" s="1" t="s">
        <v>114</v>
      </c>
      <c r="H306" s="4" t="s">
        <v>654</v>
      </c>
      <c r="I306" s="5">
        <v>36000</v>
      </c>
      <c r="J306" s="5"/>
      <c r="K306" s="34" t="b">
        <v>0</v>
      </c>
      <c r="L306" s="35"/>
      <c r="M306" s="36">
        <f>Table4[[#This Row],[Attendance]]*Table4[[#This Row],[TICKET PRICE]]</f>
        <v>0</v>
      </c>
      <c r="N306" s="39"/>
      <c r="O306" s="39"/>
    </row>
    <row r="307" spans="1:15" hidden="1" x14ac:dyDescent="0.25">
      <c r="A307" s="4">
        <v>34</v>
      </c>
      <c r="B307" s="18">
        <v>46530</v>
      </c>
      <c r="C307" s="17">
        <v>0.66666666666666663</v>
      </c>
      <c r="D307" s="17"/>
      <c r="E307" s="17"/>
      <c r="F307" s="1" t="s">
        <v>186</v>
      </c>
      <c r="G307" s="1" t="s">
        <v>41</v>
      </c>
      <c r="H307" s="4" t="s">
        <v>647</v>
      </c>
      <c r="I307" s="5">
        <v>80000</v>
      </c>
      <c r="J307" s="5"/>
      <c r="K307" s="34" t="b">
        <v>0</v>
      </c>
      <c r="L307" s="35"/>
      <c r="M307" s="36">
        <f>Table4[[#This Row],[Attendance]]*Table4[[#This Row],[TICKET PRICE]]</f>
        <v>0</v>
      </c>
      <c r="N307" s="39"/>
      <c r="O307" s="39"/>
    </row>
    <row r="308" spans="1:15" x14ac:dyDescent="0.25">
      <c r="A308" s="3" t="s">
        <v>399</v>
      </c>
      <c r="B308" s="25">
        <f>MAX(Table4[Date])-MIN(Table4[Date])</f>
        <v>274</v>
      </c>
      <c r="C308" s="24">
        <f>SUBTOTAL(101,Table4[Start Time])</f>
        <v>0.62268518518518512</v>
      </c>
      <c r="D308" s="24"/>
      <c r="E308" s="24"/>
      <c r="F308" s="3"/>
      <c r="G308" s="3"/>
      <c r="H308" s="22">
        <f>SUBTOTAL(103,Table4[Venue])</f>
        <v>9</v>
      </c>
      <c r="I308" s="23">
        <f>SUBTOTAL(101,Table4[Capacity])</f>
        <v>46411.111111111109</v>
      </c>
      <c r="J308" s="38">
        <f>SUBTOTAL(101,Table4[Attendance])</f>
        <v>40230.222222222219</v>
      </c>
      <c r="K308" s="1"/>
      <c r="L308" s="37">
        <f>SUBTOTAL(101,Table4[TICKET PRICE])</f>
        <v>43.237777777777779</v>
      </c>
      <c r="M308" s="37">
        <f>SUBTOTAL(109,Table4[MATCH REVENUE])</f>
        <v>16797920.77</v>
      </c>
      <c r="N308" s="3"/>
      <c r="O308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FF38A-BA6F-46A0-8C13-43BD00BB5242}">
  <dimension ref="A1:X435"/>
  <sheetViews>
    <sheetView showGridLines="0" tabSelected="1" topLeftCell="A60" zoomScaleNormal="100" workbookViewId="0">
      <selection activeCell="C77" sqref="C77"/>
    </sheetView>
  </sheetViews>
  <sheetFormatPr defaultRowHeight="15" x14ac:dyDescent="0.25"/>
  <cols>
    <col min="1" max="1" width="14.85546875" bestFit="1" customWidth="1"/>
    <col min="2" max="2" width="17" bestFit="1" customWidth="1"/>
    <col min="3" max="3" width="14.28515625" bestFit="1" customWidth="1"/>
    <col min="4" max="4" width="5.5703125" bestFit="1" customWidth="1"/>
    <col min="5" max="5" width="24.28515625" bestFit="1" customWidth="1"/>
    <col min="6" max="6" width="9" bestFit="1" customWidth="1"/>
    <col min="7" max="7" width="15.85546875" bestFit="1" customWidth="1"/>
    <col min="8" max="8" width="39.7109375" bestFit="1" customWidth="1"/>
    <col min="9" max="9" width="13.7109375" bestFit="1" customWidth="1"/>
    <col min="10" max="11" width="24.28515625" bestFit="1" customWidth="1"/>
    <col min="12" max="12" width="21.85546875" bestFit="1" customWidth="1"/>
    <col min="13" max="13" width="24.28515625" bestFit="1" customWidth="1"/>
    <col min="14" max="14" width="21.85546875" bestFit="1" customWidth="1"/>
    <col min="15" max="15" width="19.42578125" bestFit="1" customWidth="1"/>
    <col min="16" max="16" width="15.85546875" bestFit="1" customWidth="1"/>
    <col min="17" max="18" width="18.28515625" bestFit="1" customWidth="1"/>
    <col min="19" max="21" width="6.7109375" bestFit="1" customWidth="1"/>
    <col min="22" max="22" width="21.85546875" bestFit="1" customWidth="1"/>
    <col min="23" max="23" width="97.7109375" bestFit="1" customWidth="1"/>
    <col min="24" max="24" width="16" bestFit="1" customWidth="1"/>
  </cols>
  <sheetData>
    <row r="1" spans="1:24" x14ac:dyDescent="0.25">
      <c r="A1" s="26" t="s">
        <v>0</v>
      </c>
      <c r="B1" s="26" t="s">
        <v>1</v>
      </c>
      <c r="C1" s="26" t="s">
        <v>2</v>
      </c>
      <c r="D1" s="31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30" t="s">
        <v>10</v>
      </c>
      <c r="L1" s="30" t="s">
        <v>11</v>
      </c>
      <c r="M1" s="30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32" t="s">
        <v>416</v>
      </c>
      <c r="X1" s="32" t="s">
        <v>555</v>
      </c>
    </row>
    <row r="2" spans="1:24" x14ac:dyDescent="0.25">
      <c r="A2" s="1" t="s">
        <v>41</v>
      </c>
      <c r="B2" s="4"/>
      <c r="C2" s="5" t="s">
        <v>400</v>
      </c>
      <c r="D2" s="12">
        <v>1</v>
      </c>
      <c r="E2" s="2" t="s">
        <v>22</v>
      </c>
      <c r="F2" s="4" t="s">
        <v>23</v>
      </c>
      <c r="G2" s="4" t="s">
        <v>23</v>
      </c>
      <c r="H2" s="7">
        <v>36268</v>
      </c>
      <c r="I2" s="21">
        <f t="shared" ref="I2:I72" ca="1" si="0">DATEDIF(H2,TODAY(),"Y")</f>
        <v>27</v>
      </c>
      <c r="J2" s="8">
        <v>20000000</v>
      </c>
      <c r="K2" s="8">
        <v>20000000</v>
      </c>
      <c r="L2" s="8">
        <v>100000</v>
      </c>
      <c r="M2" s="8">
        <f>(Table2[[#This Row],[Salary/
Week]]*52)</f>
        <v>5200000</v>
      </c>
      <c r="N2" s="9">
        <v>45300</v>
      </c>
      <c r="O2" s="10">
        <v>46568</v>
      </c>
      <c r="P2" s="4">
        <f t="shared" ref="P2:P71" ca="1" si="1">DATEDIF(N2,TODAY(),"Y")</f>
        <v>2</v>
      </c>
      <c r="Q2" s="4">
        <f t="shared" ref="Q2:Q71" ca="1" si="2">DATEDIF(TODAY(),O2,"y")</f>
        <v>0</v>
      </c>
      <c r="R2" s="4">
        <f t="shared" ref="R2:R71" ca="1" si="3">DATEDIF(TODAY(),O2,"m")</f>
        <v>9</v>
      </c>
      <c r="S2" s="4"/>
      <c r="T2" s="4"/>
      <c r="U2" s="4"/>
      <c r="V2" s="4" t="s">
        <v>396</v>
      </c>
      <c r="W2" s="13" t="s">
        <v>418</v>
      </c>
      <c r="X2" s="4"/>
    </row>
    <row r="3" spans="1:24" x14ac:dyDescent="0.25">
      <c r="A3" s="1" t="s">
        <v>41</v>
      </c>
      <c r="B3" s="4"/>
      <c r="C3" s="5" t="s">
        <v>401</v>
      </c>
      <c r="D3" s="12">
        <v>35</v>
      </c>
      <c r="E3" s="2" t="s">
        <v>42</v>
      </c>
      <c r="F3" s="4" t="s">
        <v>23</v>
      </c>
      <c r="G3" s="4" t="s">
        <v>23</v>
      </c>
      <c r="H3" s="7">
        <v>37068</v>
      </c>
      <c r="I3" s="21">
        <f t="shared" ca="1" si="0"/>
        <v>25</v>
      </c>
      <c r="J3" s="8">
        <v>5000000</v>
      </c>
      <c r="K3" s="8">
        <v>8500000</v>
      </c>
      <c r="L3" s="8">
        <v>50000</v>
      </c>
      <c r="M3" s="8">
        <f>(Table2[[#This Row],[Salary/
Week]]*52)</f>
        <v>2600000</v>
      </c>
      <c r="N3" s="9">
        <v>45882</v>
      </c>
      <c r="O3" s="10">
        <v>46934</v>
      </c>
      <c r="P3" s="4">
        <f t="shared" ca="1" si="1"/>
        <v>1</v>
      </c>
      <c r="Q3" s="4">
        <f t="shared" ca="1" si="2"/>
        <v>1</v>
      </c>
      <c r="R3" s="4">
        <f t="shared" ca="1" si="3"/>
        <v>21</v>
      </c>
      <c r="S3" s="4"/>
      <c r="T3" s="4"/>
      <c r="U3" s="4"/>
      <c r="V3" s="4" t="s">
        <v>397</v>
      </c>
      <c r="W3" s="2" t="s">
        <v>418</v>
      </c>
      <c r="X3" s="4"/>
    </row>
    <row r="4" spans="1:24" x14ac:dyDescent="0.25">
      <c r="A4" s="1" t="s">
        <v>41</v>
      </c>
      <c r="B4" s="4"/>
      <c r="C4" s="5" t="s">
        <v>400</v>
      </c>
      <c r="D4" s="12">
        <v>12</v>
      </c>
      <c r="E4" s="2" t="s">
        <v>43</v>
      </c>
      <c r="F4" s="4" t="s">
        <v>25</v>
      </c>
      <c r="G4" s="4" t="s">
        <v>25</v>
      </c>
      <c r="H4" s="7">
        <v>36905</v>
      </c>
      <c r="I4" s="21">
        <f t="shared" ca="1" si="0"/>
        <v>25</v>
      </c>
      <c r="J4" s="8">
        <v>0</v>
      </c>
      <c r="K4" s="8">
        <v>50000000</v>
      </c>
      <c r="L4" s="8">
        <v>120000</v>
      </c>
      <c r="M4" s="8">
        <f>(Table2[[#This Row],[Salary/
Week]]*52)</f>
        <v>6240000</v>
      </c>
      <c r="N4" s="9">
        <v>43658</v>
      </c>
      <c r="O4" s="10">
        <v>47299</v>
      </c>
      <c r="P4" s="4">
        <f t="shared" ca="1" si="1"/>
        <v>7</v>
      </c>
      <c r="Q4" s="4">
        <f t="shared" ca="1" si="2"/>
        <v>2</v>
      </c>
      <c r="R4" s="4">
        <f t="shared" ca="1" si="3"/>
        <v>33</v>
      </c>
      <c r="S4" s="4"/>
      <c r="T4" s="4"/>
      <c r="U4" s="4"/>
      <c r="V4" s="4" t="s">
        <v>398</v>
      </c>
      <c r="W4" s="2" t="s">
        <v>417</v>
      </c>
      <c r="X4" s="4"/>
    </row>
    <row r="5" spans="1:24" x14ac:dyDescent="0.25">
      <c r="A5" s="1" t="s">
        <v>41</v>
      </c>
      <c r="B5" s="4"/>
      <c r="C5" s="5" t="s">
        <v>401</v>
      </c>
      <c r="D5" s="12">
        <v>2</v>
      </c>
      <c r="E5" s="2" t="s">
        <v>44</v>
      </c>
      <c r="F5" s="4" t="s">
        <v>25</v>
      </c>
      <c r="G5" s="4" t="s">
        <v>25</v>
      </c>
      <c r="H5" s="7">
        <v>37606</v>
      </c>
      <c r="I5" s="21">
        <f t="shared" ca="1" si="0"/>
        <v>23</v>
      </c>
      <c r="J5" s="8">
        <v>5000000</v>
      </c>
      <c r="K5" s="8">
        <v>45000000</v>
      </c>
      <c r="L5" s="8">
        <v>125000</v>
      </c>
      <c r="M5" s="8">
        <f>(Table2[[#This Row],[Salary/
Week]]*52)</f>
        <v>6500000</v>
      </c>
      <c r="N5" s="9">
        <v>44411</v>
      </c>
      <c r="O5" s="10">
        <v>47299</v>
      </c>
      <c r="P5" s="4">
        <f t="shared" ca="1" si="1"/>
        <v>5</v>
      </c>
      <c r="Q5" s="4">
        <f t="shared" ca="1" si="2"/>
        <v>2</v>
      </c>
      <c r="R5" s="4">
        <f t="shared" ca="1" si="3"/>
        <v>33</v>
      </c>
      <c r="S5" s="4"/>
      <c r="T5" s="4"/>
      <c r="U5" s="4"/>
      <c r="V5" s="4" t="s">
        <v>396</v>
      </c>
      <c r="W5" s="14" t="s">
        <v>463</v>
      </c>
      <c r="X5" s="4"/>
    </row>
    <row r="6" spans="1:24" x14ac:dyDescent="0.25">
      <c r="A6" s="1" t="s">
        <v>41</v>
      </c>
      <c r="B6" s="4" t="s">
        <v>47</v>
      </c>
      <c r="C6" s="5" t="s">
        <v>400</v>
      </c>
      <c r="D6" s="12">
        <v>5</v>
      </c>
      <c r="E6" s="2" t="s">
        <v>45</v>
      </c>
      <c r="F6" s="4" t="s">
        <v>26</v>
      </c>
      <c r="G6" s="4" t="s">
        <v>26</v>
      </c>
      <c r="H6" s="7">
        <v>35384</v>
      </c>
      <c r="I6" s="21">
        <f t="shared" ca="1" si="0"/>
        <v>29</v>
      </c>
      <c r="J6" s="8">
        <v>22500000</v>
      </c>
      <c r="K6" s="8">
        <v>28355000</v>
      </c>
      <c r="L6" s="8">
        <v>203400</v>
      </c>
      <c r="M6" s="8">
        <f>(Table2[[#This Row],[Salary/
Week]]*52)</f>
        <v>10576800</v>
      </c>
      <c r="N6" s="9">
        <v>44774</v>
      </c>
      <c r="O6" s="10">
        <v>46568</v>
      </c>
      <c r="P6" s="4">
        <f t="shared" ca="1" si="1"/>
        <v>4</v>
      </c>
      <c r="Q6" s="4">
        <f t="shared" ca="1" si="2"/>
        <v>0</v>
      </c>
      <c r="R6" s="4">
        <f t="shared" ca="1" si="3"/>
        <v>9</v>
      </c>
      <c r="S6" s="4"/>
      <c r="T6" s="4"/>
      <c r="U6" s="4"/>
      <c r="V6" s="4" t="s">
        <v>396</v>
      </c>
      <c r="W6" s="13" t="s">
        <v>464</v>
      </c>
      <c r="X6" s="4"/>
    </row>
    <row r="7" spans="1:24" x14ac:dyDescent="0.25">
      <c r="A7" s="1" t="s">
        <v>41</v>
      </c>
      <c r="B7" s="4"/>
      <c r="C7" s="5" t="s">
        <v>401</v>
      </c>
      <c r="D7" s="12">
        <v>15</v>
      </c>
      <c r="E7" s="2" t="s">
        <v>46</v>
      </c>
      <c r="F7" s="4" t="s">
        <v>26</v>
      </c>
      <c r="G7" s="4" t="s">
        <v>26</v>
      </c>
      <c r="H7" s="7">
        <v>34954</v>
      </c>
      <c r="I7" s="21">
        <f t="shared" ca="1" si="0"/>
        <v>30</v>
      </c>
      <c r="J7" s="8">
        <v>45000000</v>
      </c>
      <c r="K7" s="8">
        <v>30000000</v>
      </c>
      <c r="L7" s="8">
        <v>120000</v>
      </c>
      <c r="M7" s="8">
        <f>(Table2[[#This Row],[Salary/
Week]]*52)</f>
        <v>6240000</v>
      </c>
      <c r="N7" s="9">
        <v>44012</v>
      </c>
      <c r="O7" s="10">
        <v>46568</v>
      </c>
      <c r="P7" s="4">
        <f t="shared" ca="1" si="1"/>
        <v>6</v>
      </c>
      <c r="Q7" s="4">
        <f t="shared" ca="1" si="2"/>
        <v>0</v>
      </c>
      <c r="R7" s="4">
        <f t="shared" ca="1" si="3"/>
        <v>9</v>
      </c>
      <c r="S7" s="4"/>
      <c r="T7" s="4"/>
      <c r="U7" s="4"/>
      <c r="V7" s="4" t="s">
        <v>397</v>
      </c>
      <c r="W7" s="14" t="s">
        <v>465</v>
      </c>
      <c r="X7" s="4"/>
    </row>
    <row r="8" spans="1:24" x14ac:dyDescent="0.25">
      <c r="A8" s="1" t="s">
        <v>41</v>
      </c>
      <c r="B8" s="4"/>
      <c r="C8" s="5" t="s">
        <v>401</v>
      </c>
      <c r="D8" s="12">
        <v>21</v>
      </c>
      <c r="E8" s="2" t="s">
        <v>48</v>
      </c>
      <c r="F8" s="4" t="s">
        <v>26</v>
      </c>
      <c r="G8" s="4" t="s">
        <v>26</v>
      </c>
      <c r="H8" s="7">
        <v>35958</v>
      </c>
      <c r="I8" s="21">
        <f t="shared" ca="1" si="0"/>
        <v>28</v>
      </c>
      <c r="J8" s="8">
        <v>35000000</v>
      </c>
      <c r="K8" s="8">
        <v>27500000</v>
      </c>
      <c r="L8" s="8">
        <v>145000</v>
      </c>
      <c r="M8" s="8">
        <f>(Table2[[#This Row],[Salary/
Week]]*52)</f>
        <v>7540000</v>
      </c>
      <c r="N8" s="9">
        <v>43993</v>
      </c>
      <c r="O8" s="10">
        <v>46568</v>
      </c>
      <c r="P8" s="4">
        <f t="shared" ca="1" si="1"/>
        <v>6</v>
      </c>
      <c r="Q8" s="4">
        <f t="shared" ca="1" si="2"/>
        <v>0</v>
      </c>
      <c r="R8" s="4">
        <f t="shared" ca="1" si="3"/>
        <v>9</v>
      </c>
      <c r="S8" s="4"/>
      <c r="T8" s="4"/>
      <c r="U8" s="4"/>
      <c r="V8" s="4" t="s">
        <v>397</v>
      </c>
      <c r="W8" s="13" t="s">
        <v>464</v>
      </c>
      <c r="X8" s="4"/>
    </row>
    <row r="9" spans="1:24" x14ac:dyDescent="0.25">
      <c r="A9" s="1" t="s">
        <v>41</v>
      </c>
      <c r="B9" s="4"/>
      <c r="C9" s="5" t="s">
        <v>400</v>
      </c>
      <c r="D9" s="12">
        <v>4</v>
      </c>
      <c r="E9" s="11" t="s">
        <v>419</v>
      </c>
      <c r="F9" s="4" t="s">
        <v>26</v>
      </c>
      <c r="G9" s="4" t="s">
        <v>27</v>
      </c>
      <c r="H9" s="7">
        <v>37631</v>
      </c>
      <c r="I9" s="21">
        <f t="shared" ca="1" si="0"/>
        <v>23</v>
      </c>
      <c r="J9" s="8">
        <v>50000000</v>
      </c>
      <c r="K9" s="8">
        <v>55000000</v>
      </c>
      <c r="L9" s="8">
        <v>85000</v>
      </c>
      <c r="M9" s="8">
        <f>(Table2[[#This Row],[Salary/
Week]]*52)</f>
        <v>4420000</v>
      </c>
      <c r="N9" s="9">
        <v>46230</v>
      </c>
      <c r="O9" s="10">
        <v>49125</v>
      </c>
      <c r="P9" s="4">
        <f t="shared" ca="1" si="1"/>
        <v>0</v>
      </c>
      <c r="Q9" s="4">
        <f t="shared" ca="1" si="2"/>
        <v>7</v>
      </c>
      <c r="R9" s="4">
        <f t="shared" ca="1" si="3"/>
        <v>93</v>
      </c>
      <c r="S9" s="4"/>
      <c r="T9" s="4"/>
      <c r="U9" s="4"/>
      <c r="V9" s="4" t="s">
        <v>398</v>
      </c>
      <c r="W9" s="14" t="s">
        <v>466</v>
      </c>
      <c r="X9" s="4"/>
    </row>
    <row r="10" spans="1:24" x14ac:dyDescent="0.25">
      <c r="A10" s="1" t="s">
        <v>41</v>
      </c>
      <c r="B10" s="4"/>
      <c r="C10" s="5" t="s">
        <v>401</v>
      </c>
      <c r="D10" s="12">
        <v>14</v>
      </c>
      <c r="E10" s="11" t="s">
        <v>455</v>
      </c>
      <c r="F10" s="4" t="s">
        <v>26</v>
      </c>
      <c r="G10" s="4" t="s">
        <v>27</v>
      </c>
      <c r="H10" s="7">
        <v>37469</v>
      </c>
      <c r="I10" s="21">
        <f ca="1">DATEDIF(H10,TODAY(),"Y")</f>
        <v>24</v>
      </c>
      <c r="J10" s="8">
        <v>20000000</v>
      </c>
      <c r="K10" s="8">
        <v>23000000</v>
      </c>
      <c r="L10" s="8">
        <v>85000</v>
      </c>
      <c r="M10" s="8">
        <f>(Table2[[#This Row],[Salary/
Week]]*52)</f>
        <v>4420000</v>
      </c>
      <c r="N10" s="9">
        <v>46196</v>
      </c>
      <c r="O10" s="10">
        <v>48395</v>
      </c>
      <c r="P10" s="4">
        <f ca="1">DATEDIF(N10,TODAY(),"Y")</f>
        <v>0</v>
      </c>
      <c r="Q10" s="4">
        <f ca="1">DATEDIF(TODAY(),O10,"y")</f>
        <v>5</v>
      </c>
      <c r="R10" s="4">
        <f ca="1">DATEDIF(TODAY(),O10,"m")</f>
        <v>69</v>
      </c>
      <c r="S10" s="4"/>
      <c r="T10" s="4"/>
      <c r="U10" s="4"/>
      <c r="V10" s="4" t="s">
        <v>397</v>
      </c>
      <c r="W10" s="13" t="s">
        <v>464</v>
      </c>
      <c r="X10" s="4"/>
    </row>
    <row r="11" spans="1:24" x14ac:dyDescent="0.25">
      <c r="A11" s="1" t="s">
        <v>41</v>
      </c>
      <c r="B11" s="4"/>
      <c r="C11" s="5" t="s">
        <v>400</v>
      </c>
      <c r="D11" s="12">
        <v>3</v>
      </c>
      <c r="E11" s="2" t="s">
        <v>50</v>
      </c>
      <c r="F11" s="4" t="s">
        <v>27</v>
      </c>
      <c r="G11" s="4" t="s">
        <v>27</v>
      </c>
      <c r="H11" s="7">
        <v>37625</v>
      </c>
      <c r="I11" s="21">
        <f t="shared" ca="1" si="0"/>
        <v>23</v>
      </c>
      <c r="J11" s="8">
        <v>0</v>
      </c>
      <c r="K11" s="8">
        <v>20000000</v>
      </c>
      <c r="L11" s="8">
        <v>50000</v>
      </c>
      <c r="M11" s="8">
        <f>(Table2[[#This Row],[Salary/
Week]]*52)</f>
        <v>2600000</v>
      </c>
      <c r="N11" s="9">
        <v>45299</v>
      </c>
      <c r="O11" s="10">
        <v>46568</v>
      </c>
      <c r="P11" s="4">
        <f t="shared" ca="1" si="1"/>
        <v>2</v>
      </c>
      <c r="Q11" s="4">
        <f t="shared" ca="1" si="2"/>
        <v>0</v>
      </c>
      <c r="R11" s="4">
        <f t="shared" ca="1" si="3"/>
        <v>9</v>
      </c>
      <c r="S11" s="4"/>
      <c r="T11" s="4"/>
      <c r="U11" s="4"/>
      <c r="V11" s="4" t="s">
        <v>397</v>
      </c>
      <c r="W11" s="14" t="s">
        <v>467</v>
      </c>
      <c r="X11" s="4"/>
    </row>
    <row r="12" spans="1:24" x14ac:dyDescent="0.25">
      <c r="A12" s="1" t="s">
        <v>41</v>
      </c>
      <c r="B12" s="4"/>
      <c r="C12" s="5" t="s">
        <v>401</v>
      </c>
      <c r="D12" s="12">
        <v>16</v>
      </c>
      <c r="E12" s="2" t="s">
        <v>51</v>
      </c>
      <c r="F12" s="4" t="s">
        <v>27</v>
      </c>
      <c r="G12" s="4" t="s">
        <v>27</v>
      </c>
      <c r="H12" s="7">
        <v>37143</v>
      </c>
      <c r="I12" s="21">
        <f t="shared" ca="1" si="0"/>
        <v>25</v>
      </c>
      <c r="J12" s="8">
        <v>0</v>
      </c>
      <c r="K12" s="8">
        <v>0</v>
      </c>
      <c r="L12" s="8">
        <v>38000</v>
      </c>
      <c r="M12" s="8">
        <f>(Table2[[#This Row],[Salary/
Week]]*52)</f>
        <v>1976000</v>
      </c>
      <c r="N12" s="9">
        <v>45874</v>
      </c>
      <c r="O12" s="10">
        <v>47664</v>
      </c>
      <c r="P12" s="4">
        <f t="shared" ca="1" si="1"/>
        <v>1</v>
      </c>
      <c r="Q12" s="4">
        <f t="shared" ca="1" si="2"/>
        <v>3</v>
      </c>
      <c r="R12" s="4">
        <f t="shared" ca="1" si="3"/>
        <v>45</v>
      </c>
      <c r="S12" s="4"/>
      <c r="T12" s="4"/>
      <c r="U12" s="4"/>
      <c r="V12" s="4" t="s">
        <v>397</v>
      </c>
      <c r="W12" s="14" t="s">
        <v>468</v>
      </c>
      <c r="X12" s="4"/>
    </row>
    <row r="13" spans="1:24" x14ac:dyDescent="0.25">
      <c r="A13" s="1" t="s">
        <v>41</v>
      </c>
      <c r="B13" s="4"/>
      <c r="C13" s="5" t="s">
        <v>401</v>
      </c>
      <c r="D13" s="12">
        <v>23</v>
      </c>
      <c r="E13" s="2" t="s">
        <v>53</v>
      </c>
      <c r="F13" s="4" t="s">
        <v>28</v>
      </c>
      <c r="G13" s="4" t="s">
        <v>29</v>
      </c>
      <c r="H13" s="7">
        <v>37447</v>
      </c>
      <c r="I13" s="21">
        <f ca="1">DATEDIF(H13,TODAY(),"Y")</f>
        <v>24</v>
      </c>
      <c r="J13" s="8">
        <v>50000000</v>
      </c>
      <c r="K13" s="8">
        <v>50000000</v>
      </c>
      <c r="L13" s="8">
        <v>200000</v>
      </c>
      <c r="M13" s="8">
        <f>(Table2[[#This Row],[Salary/
Week]]*52)</f>
        <v>10400000</v>
      </c>
      <c r="N13" s="9">
        <v>45681</v>
      </c>
      <c r="O13" s="10">
        <v>47664</v>
      </c>
      <c r="P13" s="4">
        <f ca="1">DATEDIF(N13,TODAY(),"Y")</f>
        <v>1</v>
      </c>
      <c r="Q13" s="4">
        <f ca="1">DATEDIF(TODAY(),O13,"y")</f>
        <v>3</v>
      </c>
      <c r="R13" s="4">
        <f ca="1">DATEDIF(TODAY(),O13,"m")</f>
        <v>45</v>
      </c>
      <c r="S13" s="4"/>
      <c r="T13" s="4"/>
      <c r="U13" s="4"/>
      <c r="V13" s="4" t="s">
        <v>397</v>
      </c>
      <c r="W13" s="13" t="s">
        <v>471</v>
      </c>
      <c r="X13" s="4"/>
    </row>
    <row r="14" spans="1:24" x14ac:dyDescent="0.25">
      <c r="A14" s="1" t="s">
        <v>41</v>
      </c>
      <c r="B14" s="4"/>
      <c r="C14" s="5" t="s">
        <v>400</v>
      </c>
      <c r="D14" s="12">
        <v>31</v>
      </c>
      <c r="E14" s="2" t="s">
        <v>439</v>
      </c>
      <c r="F14" s="4" t="s">
        <v>28</v>
      </c>
      <c r="G14" s="4" t="s">
        <v>30</v>
      </c>
      <c r="H14" s="7">
        <v>35319</v>
      </c>
      <c r="I14" s="21">
        <f ca="1">DATEDIF(H14,TODAY(),"Y")</f>
        <v>30</v>
      </c>
      <c r="J14" s="8">
        <v>0</v>
      </c>
      <c r="K14" s="8">
        <v>25000000</v>
      </c>
      <c r="L14" s="8">
        <v>90000</v>
      </c>
      <c r="M14" s="8">
        <f>(Table2[[#This Row],[Salary/
Week]]*52)</f>
        <v>4680000</v>
      </c>
      <c r="N14" s="9">
        <v>46260</v>
      </c>
      <c r="O14" s="10">
        <v>46934</v>
      </c>
      <c r="P14" s="4">
        <f ca="1">DATEDIF(N14,TODAY(),"Y")</f>
        <v>0</v>
      </c>
      <c r="Q14" s="4">
        <f ca="1">DATEDIF(TODAY(),O14,"y")</f>
        <v>1</v>
      </c>
      <c r="R14" s="4">
        <f ca="1">DATEDIF(TODAY(),O14,"m")</f>
        <v>21</v>
      </c>
      <c r="S14" s="4"/>
      <c r="T14" s="4"/>
      <c r="U14" s="4"/>
      <c r="V14" s="4" t="s">
        <v>397</v>
      </c>
      <c r="W14" s="13" t="s">
        <v>467</v>
      </c>
      <c r="X14" s="4"/>
    </row>
    <row r="15" spans="1:24" x14ac:dyDescent="0.25">
      <c r="A15" s="1" t="s">
        <v>41</v>
      </c>
      <c r="B15" s="4"/>
      <c r="C15" s="5" t="s">
        <v>400</v>
      </c>
      <c r="D15" s="12">
        <v>16</v>
      </c>
      <c r="E15" s="2" t="s">
        <v>421</v>
      </c>
      <c r="F15" s="4" t="s">
        <v>29</v>
      </c>
      <c r="G15" s="4" t="s">
        <v>28</v>
      </c>
      <c r="H15" s="7">
        <v>39722</v>
      </c>
      <c r="I15" s="21">
        <f ca="1">DATEDIF(H15,TODAY(),"Y")</f>
        <v>17</v>
      </c>
      <c r="J15" s="8">
        <v>85000000</v>
      </c>
      <c r="K15" s="8">
        <v>60000000</v>
      </c>
      <c r="L15" s="8">
        <v>115000</v>
      </c>
      <c r="M15" s="8">
        <f>(Table2[[#This Row],[Salary/
Week]]*52)</f>
        <v>5980000</v>
      </c>
      <c r="N15" s="9">
        <v>46232</v>
      </c>
      <c r="O15" s="10">
        <v>50951</v>
      </c>
      <c r="P15" s="4">
        <f ca="1">DATEDIF(N15,TODAY(),"Y")</f>
        <v>0</v>
      </c>
      <c r="Q15" s="4">
        <f ca="1">DATEDIF(TODAY(),O15,"y")</f>
        <v>12</v>
      </c>
      <c r="R15" s="4">
        <f ca="1">DATEDIF(TODAY(),O15,"m")</f>
        <v>153</v>
      </c>
      <c r="S15" s="4"/>
      <c r="T15" s="4"/>
      <c r="U15" s="4"/>
      <c r="V15" s="4" t="s">
        <v>397</v>
      </c>
      <c r="W15" s="13" t="s">
        <v>472</v>
      </c>
      <c r="X15" s="4"/>
    </row>
    <row r="16" spans="1:24" x14ac:dyDescent="0.25">
      <c r="A16" s="1" t="s">
        <v>41</v>
      </c>
      <c r="B16" s="4"/>
      <c r="C16" s="5" t="s">
        <v>402</v>
      </c>
      <c r="D16" s="12">
        <v>17</v>
      </c>
      <c r="E16" s="2" t="s">
        <v>54</v>
      </c>
      <c r="F16" s="4" t="s">
        <v>29</v>
      </c>
      <c r="G16" s="4" t="s">
        <v>28</v>
      </c>
      <c r="H16" s="7">
        <v>37053</v>
      </c>
      <c r="I16" s="21">
        <f t="shared" ca="1" si="0"/>
        <v>25</v>
      </c>
      <c r="J16" s="8">
        <v>0</v>
      </c>
      <c r="K16" s="8">
        <v>23500000</v>
      </c>
      <c r="L16" s="8">
        <v>80000</v>
      </c>
      <c r="M16" s="8">
        <f>(Table2[[#This Row],[Salary/
Week]]*52)</f>
        <v>4160000</v>
      </c>
      <c r="N16" s="9">
        <v>45478</v>
      </c>
      <c r="O16" s="10">
        <v>46568</v>
      </c>
      <c r="P16" s="4">
        <f t="shared" ca="1" si="1"/>
        <v>2</v>
      </c>
      <c r="Q16" s="4">
        <f t="shared" ca="1" si="2"/>
        <v>0</v>
      </c>
      <c r="R16" s="4">
        <f t="shared" ca="1" si="3"/>
        <v>9</v>
      </c>
      <c r="S16" s="4"/>
      <c r="T16" s="4"/>
      <c r="U16" s="4"/>
      <c r="V16" s="4" t="s">
        <v>397</v>
      </c>
      <c r="W16" s="13" t="s">
        <v>473</v>
      </c>
      <c r="X16" s="4"/>
    </row>
    <row r="17" spans="1:24" x14ac:dyDescent="0.25">
      <c r="A17" s="1" t="s">
        <v>41</v>
      </c>
      <c r="B17" s="4"/>
      <c r="C17" s="5" t="s">
        <v>401</v>
      </c>
      <c r="D17" s="12">
        <v>19</v>
      </c>
      <c r="E17" s="2" t="s">
        <v>55</v>
      </c>
      <c r="F17" s="4" t="s">
        <v>29</v>
      </c>
      <c r="G17" s="4" t="s">
        <v>30</v>
      </c>
      <c r="H17" s="7">
        <v>37907</v>
      </c>
      <c r="I17" s="21">
        <f t="shared" ca="1" si="0"/>
        <v>22</v>
      </c>
      <c r="J17" s="8">
        <v>75000000</v>
      </c>
      <c r="K17" s="8">
        <v>60000000</v>
      </c>
      <c r="L17" s="8">
        <v>200000</v>
      </c>
      <c r="M17" s="8">
        <f>(Table2[[#This Row],[Salary/
Week]]*52)</f>
        <v>10400000</v>
      </c>
      <c r="N17" s="9">
        <v>45874</v>
      </c>
      <c r="O17" s="10">
        <v>47299</v>
      </c>
      <c r="P17" s="4">
        <f t="shared" ca="1" si="1"/>
        <v>1</v>
      </c>
      <c r="Q17" s="4">
        <f t="shared" ca="1" si="2"/>
        <v>2</v>
      </c>
      <c r="R17" s="4">
        <f t="shared" ca="1" si="3"/>
        <v>33</v>
      </c>
      <c r="S17" s="4"/>
      <c r="T17" s="4"/>
      <c r="U17" s="4"/>
      <c r="V17" s="4" t="s">
        <v>396</v>
      </c>
      <c r="W17" s="13" t="s">
        <v>474</v>
      </c>
      <c r="X17" s="4"/>
    </row>
    <row r="18" spans="1:24" x14ac:dyDescent="0.25">
      <c r="A18" s="1" t="s">
        <v>41</v>
      </c>
      <c r="B18" s="4"/>
      <c r="C18" s="5" t="s">
        <v>401</v>
      </c>
      <c r="D18" s="12">
        <v>8</v>
      </c>
      <c r="E18" s="2" t="s">
        <v>56</v>
      </c>
      <c r="F18" s="4" t="s">
        <v>30</v>
      </c>
      <c r="G18" s="4" t="s">
        <v>31</v>
      </c>
      <c r="H18" s="7">
        <v>35971</v>
      </c>
      <c r="I18" s="21">
        <f t="shared" ca="1" si="0"/>
        <v>28</v>
      </c>
      <c r="J18" s="8">
        <v>60000000</v>
      </c>
      <c r="K18" s="8">
        <v>35000000</v>
      </c>
      <c r="L18" s="8">
        <v>200000</v>
      </c>
      <c r="M18" s="8">
        <f>(Table2[[#This Row],[Salary/
Week]]*52)</f>
        <v>10400000</v>
      </c>
      <c r="N18" s="9">
        <v>44019</v>
      </c>
      <c r="O18" s="10">
        <v>46934</v>
      </c>
      <c r="P18" s="4">
        <f t="shared" ca="1" si="1"/>
        <v>6</v>
      </c>
      <c r="Q18" s="4">
        <f t="shared" ca="1" si="2"/>
        <v>1</v>
      </c>
      <c r="R18" s="4">
        <f t="shared" ca="1" si="3"/>
        <v>21</v>
      </c>
      <c r="S18" s="4"/>
      <c r="T18" s="4"/>
      <c r="U18" s="4"/>
      <c r="V18" s="4" t="s">
        <v>396</v>
      </c>
      <c r="W18" s="14" t="s">
        <v>475</v>
      </c>
      <c r="X18" s="4"/>
    </row>
    <row r="19" spans="1:24" x14ac:dyDescent="0.25">
      <c r="A19" s="1" t="s">
        <v>41</v>
      </c>
      <c r="B19" s="4" t="s">
        <v>57</v>
      </c>
      <c r="C19" s="5" t="s">
        <v>400</v>
      </c>
      <c r="D19" s="12">
        <v>10</v>
      </c>
      <c r="E19" s="2" t="s">
        <v>58</v>
      </c>
      <c r="F19" s="4" t="s">
        <v>30</v>
      </c>
      <c r="G19" s="4" t="s">
        <v>31</v>
      </c>
      <c r="H19" s="7">
        <v>35757</v>
      </c>
      <c r="I19" s="21">
        <f t="shared" ca="1" si="0"/>
        <v>28</v>
      </c>
      <c r="J19" s="8">
        <v>117500000</v>
      </c>
      <c r="K19" s="8">
        <v>110000000</v>
      </c>
      <c r="L19" s="8">
        <v>322000</v>
      </c>
      <c r="M19" s="8">
        <f>(Table2[[#This Row],[Salary/
Week]]*52)</f>
        <v>16744000</v>
      </c>
      <c r="N19" s="9">
        <v>44789</v>
      </c>
      <c r="O19" s="10">
        <v>46568</v>
      </c>
      <c r="P19" s="4">
        <f t="shared" ca="1" si="1"/>
        <v>4</v>
      </c>
      <c r="Q19" s="4">
        <f t="shared" ca="1" si="2"/>
        <v>0</v>
      </c>
      <c r="R19" s="4">
        <f t="shared" ca="1" si="3"/>
        <v>9</v>
      </c>
      <c r="S19" s="4"/>
      <c r="T19" s="4"/>
      <c r="U19" s="4"/>
      <c r="V19" s="4" t="s">
        <v>397</v>
      </c>
      <c r="W19" s="13" t="s">
        <v>476</v>
      </c>
      <c r="X19" s="4"/>
    </row>
    <row r="20" spans="1:24" x14ac:dyDescent="0.25">
      <c r="A20" s="1" t="s">
        <v>41</v>
      </c>
      <c r="B20" s="4"/>
      <c r="C20" s="5" t="s">
        <v>400</v>
      </c>
      <c r="D20" s="12">
        <v>14</v>
      </c>
      <c r="E20" s="2" t="s">
        <v>59</v>
      </c>
      <c r="F20" s="4" t="s">
        <v>32</v>
      </c>
      <c r="G20" s="4" t="s">
        <v>35</v>
      </c>
      <c r="H20" s="7">
        <v>37460</v>
      </c>
      <c r="I20" s="21">
        <f t="shared" ca="1" si="0"/>
        <v>24</v>
      </c>
      <c r="J20" s="8">
        <v>70000000</v>
      </c>
      <c r="K20" s="8">
        <v>120000000</v>
      </c>
      <c r="L20" s="8">
        <v>245000</v>
      </c>
      <c r="M20" s="8">
        <f>(Table2[[#This Row],[Salary/
Week]]*52)</f>
        <v>12740000</v>
      </c>
      <c r="N20" s="9">
        <v>45503</v>
      </c>
      <c r="O20" s="10">
        <v>47299</v>
      </c>
      <c r="P20" s="4">
        <f t="shared" ca="1" si="1"/>
        <v>2</v>
      </c>
      <c r="Q20" s="4">
        <f t="shared" ca="1" si="2"/>
        <v>2</v>
      </c>
      <c r="R20" s="4">
        <f t="shared" ca="1" si="3"/>
        <v>33</v>
      </c>
      <c r="S20" s="4"/>
      <c r="T20" s="4"/>
      <c r="U20" s="4"/>
      <c r="V20" s="4" t="s">
        <v>397</v>
      </c>
      <c r="W20" s="13" t="s">
        <v>478</v>
      </c>
      <c r="X20" s="4"/>
    </row>
    <row r="21" spans="1:24" x14ac:dyDescent="0.25">
      <c r="A21" s="1" t="s">
        <v>41</v>
      </c>
      <c r="B21" s="4"/>
      <c r="C21" s="5" t="s">
        <v>401</v>
      </c>
      <c r="D21" s="12">
        <v>20</v>
      </c>
      <c r="E21" s="2" t="s">
        <v>448</v>
      </c>
      <c r="F21" s="4" t="s">
        <v>32</v>
      </c>
      <c r="G21" s="4" t="s">
        <v>32</v>
      </c>
      <c r="H21" s="7">
        <v>37882</v>
      </c>
      <c r="I21" s="21">
        <f t="shared" ca="1" si="0"/>
        <v>22</v>
      </c>
      <c r="J21" s="8">
        <v>10000000</v>
      </c>
      <c r="K21" s="8">
        <v>12000000</v>
      </c>
      <c r="L21" s="8">
        <v>45000</v>
      </c>
      <c r="M21" s="8">
        <f>(Table2[[#This Row],[Salary/
Week]]*52)</f>
        <v>2340000</v>
      </c>
      <c r="N21" s="9">
        <v>46233</v>
      </c>
      <c r="O21" s="10">
        <v>47299</v>
      </c>
      <c r="P21" s="4">
        <f t="shared" ref="P21" ca="1" si="4">DATEDIF(N21,TODAY(),"Y")</f>
        <v>0</v>
      </c>
      <c r="Q21" s="4">
        <f t="shared" ref="Q21" ca="1" si="5">DATEDIF(TODAY(),O21,"y")</f>
        <v>2</v>
      </c>
      <c r="R21" s="4">
        <f t="shared" ref="R21" ca="1" si="6">DATEDIF(TODAY(),O21,"m")</f>
        <v>33</v>
      </c>
      <c r="S21" s="4"/>
      <c r="T21" s="4"/>
      <c r="U21" s="4"/>
      <c r="V21" s="4" t="s">
        <v>397</v>
      </c>
      <c r="W21" s="13" t="s">
        <v>479</v>
      </c>
      <c r="X21" s="4"/>
    </row>
    <row r="22" spans="1:24" x14ac:dyDescent="0.25">
      <c r="A22" s="1" t="s">
        <v>41</v>
      </c>
      <c r="B22" s="4"/>
      <c r="C22" s="5" t="s">
        <v>400</v>
      </c>
      <c r="D22" s="12">
        <v>7</v>
      </c>
      <c r="E22" s="2" t="s">
        <v>61</v>
      </c>
      <c r="F22" s="4" t="s">
        <v>31</v>
      </c>
      <c r="G22" s="4" t="s">
        <v>32</v>
      </c>
      <c r="H22" s="7">
        <v>33281</v>
      </c>
      <c r="I22" s="21">
        <f t="shared" ca="1" si="0"/>
        <v>35</v>
      </c>
      <c r="J22" s="8">
        <v>0</v>
      </c>
      <c r="K22" s="8">
        <v>15000000</v>
      </c>
      <c r="L22" s="8">
        <v>55000</v>
      </c>
      <c r="M22" s="8">
        <f>(Table2[[#This Row],[Salary/
Week]]*52)</f>
        <v>2860000</v>
      </c>
      <c r="N22" s="9">
        <v>46056</v>
      </c>
      <c r="O22" s="10">
        <v>46568</v>
      </c>
      <c r="P22" s="4">
        <f t="shared" ca="1" si="1"/>
        <v>0</v>
      </c>
      <c r="Q22" s="4">
        <f t="shared" ca="1" si="2"/>
        <v>0</v>
      </c>
      <c r="R22" s="4">
        <f t="shared" ca="1" si="3"/>
        <v>9</v>
      </c>
      <c r="S22" s="4"/>
      <c r="T22" s="4"/>
      <c r="U22" s="4"/>
      <c r="V22" s="4" t="s">
        <v>398</v>
      </c>
      <c r="W22" s="13" t="s">
        <v>480</v>
      </c>
      <c r="X22" s="4"/>
    </row>
    <row r="23" spans="1:24" x14ac:dyDescent="0.25">
      <c r="A23" s="1" t="s">
        <v>41</v>
      </c>
      <c r="B23" s="4"/>
      <c r="C23" s="5" t="s">
        <v>401</v>
      </c>
      <c r="D23" s="12">
        <v>9</v>
      </c>
      <c r="E23" s="2" t="s">
        <v>62</v>
      </c>
      <c r="F23" s="4" t="s">
        <v>31</v>
      </c>
      <c r="G23" s="4" t="s">
        <v>34</v>
      </c>
      <c r="H23" s="7">
        <v>34294</v>
      </c>
      <c r="I23" s="21">
        <f t="shared" ca="1" si="0"/>
        <v>32</v>
      </c>
      <c r="J23" s="8">
        <v>0</v>
      </c>
      <c r="K23" s="8">
        <v>30000000</v>
      </c>
      <c r="L23" s="8">
        <v>115000</v>
      </c>
      <c r="M23" s="8">
        <f>(Table2[[#This Row],[Salary/
Week]]*52)</f>
        <v>5980000</v>
      </c>
      <c r="N23" s="9">
        <v>45871</v>
      </c>
      <c r="O23" s="10">
        <v>46934</v>
      </c>
      <c r="P23" s="4">
        <f t="shared" ca="1" si="1"/>
        <v>1</v>
      </c>
      <c r="Q23" s="4">
        <f t="shared" ca="1" si="2"/>
        <v>1</v>
      </c>
      <c r="R23" s="4">
        <f t="shared" ca="1" si="3"/>
        <v>21</v>
      </c>
      <c r="S23" s="4"/>
      <c r="T23" s="4"/>
      <c r="U23" s="4"/>
      <c r="V23" s="4" t="s">
        <v>397</v>
      </c>
      <c r="W23" s="14" t="s">
        <v>481</v>
      </c>
      <c r="X23" s="4"/>
    </row>
    <row r="24" spans="1:24" x14ac:dyDescent="0.25">
      <c r="A24" s="1" t="s">
        <v>41</v>
      </c>
      <c r="B24" s="4"/>
      <c r="C24" s="5" t="s">
        <v>402</v>
      </c>
      <c r="D24" s="12">
        <v>30</v>
      </c>
      <c r="E24" s="2" t="s">
        <v>63</v>
      </c>
      <c r="F24" s="4" t="s">
        <v>31</v>
      </c>
      <c r="G24" s="4" t="s">
        <v>30</v>
      </c>
      <c r="H24" s="7">
        <v>36870</v>
      </c>
      <c r="I24" s="21">
        <f t="shared" ca="1" si="0"/>
        <v>25</v>
      </c>
      <c r="J24" s="8">
        <v>55000000</v>
      </c>
      <c r="K24" s="8">
        <v>40000000</v>
      </c>
      <c r="L24" s="8">
        <v>65000</v>
      </c>
      <c r="M24" s="8">
        <f>(Table2[[#This Row],[Salary/
Week]]*52)</f>
        <v>3380000</v>
      </c>
      <c r="N24" s="9">
        <v>45882</v>
      </c>
      <c r="O24" s="10">
        <v>47299</v>
      </c>
      <c r="P24" s="4">
        <f t="shared" ca="1" si="1"/>
        <v>1</v>
      </c>
      <c r="Q24" s="4">
        <f t="shared" ca="1" si="2"/>
        <v>2</v>
      </c>
      <c r="R24" s="4">
        <f t="shared" ca="1" si="3"/>
        <v>33</v>
      </c>
      <c r="S24" s="4"/>
      <c r="T24" s="4"/>
      <c r="U24" s="4"/>
      <c r="V24" s="4" t="s">
        <v>396</v>
      </c>
      <c r="W24" s="13" t="s">
        <v>482</v>
      </c>
      <c r="X24" s="4"/>
    </row>
    <row r="25" spans="1:24" x14ac:dyDescent="0.25">
      <c r="A25" s="1" t="s">
        <v>41</v>
      </c>
      <c r="B25" s="4"/>
      <c r="C25" s="5" t="s">
        <v>401</v>
      </c>
      <c r="D25" s="12">
        <v>29</v>
      </c>
      <c r="E25" s="2" t="s">
        <v>64</v>
      </c>
      <c r="F25" s="4" t="s">
        <v>35</v>
      </c>
      <c r="G25" s="4" t="s">
        <v>36</v>
      </c>
      <c r="H25" s="7">
        <v>39333</v>
      </c>
      <c r="I25" s="21">
        <f t="shared" ca="1" si="0"/>
        <v>19</v>
      </c>
      <c r="J25" s="8">
        <v>0</v>
      </c>
      <c r="K25" s="8">
        <v>0</v>
      </c>
      <c r="L25" s="8">
        <v>4500</v>
      </c>
      <c r="M25" s="8">
        <f>(Table2[[#This Row],[Salary/
Week]]*52)</f>
        <v>234000</v>
      </c>
      <c r="N25" s="9">
        <v>45677</v>
      </c>
      <c r="O25" s="10">
        <v>46568</v>
      </c>
      <c r="P25" s="4">
        <f t="shared" ca="1" si="1"/>
        <v>1</v>
      </c>
      <c r="Q25" s="4">
        <f t="shared" ca="1" si="2"/>
        <v>0</v>
      </c>
      <c r="R25" s="4">
        <f t="shared" ca="1" si="3"/>
        <v>9</v>
      </c>
      <c r="S25" s="4"/>
      <c r="T25" s="4"/>
      <c r="U25" s="4"/>
      <c r="V25" s="4" t="s">
        <v>396</v>
      </c>
      <c r="W25" s="14" t="s">
        <v>483</v>
      </c>
      <c r="X25" s="4"/>
    </row>
    <row r="26" spans="1:24" x14ac:dyDescent="0.25">
      <c r="A26" s="1" t="s">
        <v>41</v>
      </c>
      <c r="B26" s="4"/>
      <c r="C26" s="5" t="s">
        <v>400</v>
      </c>
      <c r="D26" s="12">
        <v>11</v>
      </c>
      <c r="E26" s="2" t="s">
        <v>259</v>
      </c>
      <c r="F26" s="4" t="s">
        <v>35</v>
      </c>
      <c r="G26" s="4" t="s">
        <v>30</v>
      </c>
      <c r="H26" s="7">
        <v>37734</v>
      </c>
      <c r="I26" s="21">
        <f ca="1">DATEDIF(H26,TODAY(),"Y")</f>
        <v>23</v>
      </c>
      <c r="J26" s="8">
        <v>55000000</v>
      </c>
      <c r="K26" s="8">
        <v>45000000</v>
      </c>
      <c r="L26" s="8">
        <v>125000</v>
      </c>
      <c r="M26" s="8">
        <f>(Table2[[#This Row],[Salary/
Week]]*52)</f>
        <v>6500000</v>
      </c>
      <c r="N26" s="9">
        <v>46225</v>
      </c>
      <c r="O26" s="10">
        <v>48760</v>
      </c>
      <c r="P26" s="4">
        <f ca="1">DATEDIF(N26,TODAY(),"Y")</f>
        <v>0</v>
      </c>
      <c r="Q26" s="4">
        <f ca="1">DATEDIF(TODAY(),O26,"y")</f>
        <v>6</v>
      </c>
      <c r="R26" s="4">
        <f ca="1">DATEDIF(TODAY(),O26,"m")</f>
        <v>81</v>
      </c>
      <c r="S26" s="4"/>
      <c r="T26" s="4"/>
      <c r="U26" s="4"/>
      <c r="V26" s="4" t="s">
        <v>396</v>
      </c>
      <c r="W26" s="14" t="s">
        <v>485</v>
      </c>
      <c r="X26" s="4"/>
    </row>
    <row r="27" spans="1:24" x14ac:dyDescent="0.25">
      <c r="A27" s="1" t="s">
        <v>66</v>
      </c>
      <c r="B27" s="4"/>
      <c r="C27" s="5" t="s">
        <v>400</v>
      </c>
      <c r="D27" s="12">
        <v>1</v>
      </c>
      <c r="E27" s="2" t="s">
        <v>67</v>
      </c>
      <c r="F27" s="4" t="s">
        <v>23</v>
      </c>
      <c r="G27" s="4" t="s">
        <v>23</v>
      </c>
      <c r="H27" s="7">
        <v>34869</v>
      </c>
      <c r="I27" s="21">
        <f t="shared" ca="1" si="0"/>
        <v>31</v>
      </c>
      <c r="J27" s="8">
        <v>20000000</v>
      </c>
      <c r="K27" s="8">
        <v>4500000</v>
      </c>
      <c r="L27" s="8">
        <v>280000</v>
      </c>
      <c r="M27" s="8">
        <f>(Table2[[#This Row],[Salary/
Week]]*52)</f>
        <v>14560000</v>
      </c>
      <c r="N27" s="9">
        <v>42538</v>
      </c>
      <c r="O27" s="10">
        <v>46568</v>
      </c>
      <c r="P27" s="4">
        <f t="shared" ca="1" si="1"/>
        <v>10</v>
      </c>
      <c r="Q27" s="4">
        <f t="shared" ca="1" si="2"/>
        <v>0</v>
      </c>
      <c r="R27" s="4">
        <f t="shared" ca="1" si="3"/>
        <v>9</v>
      </c>
      <c r="S27" s="4"/>
      <c r="T27" s="4"/>
      <c r="U27" s="4"/>
      <c r="V27" s="4" t="s">
        <v>398</v>
      </c>
      <c r="W27" s="2"/>
      <c r="X27" s="4"/>
    </row>
    <row r="28" spans="1:24" x14ac:dyDescent="0.25">
      <c r="A28" s="1" t="s">
        <v>66</v>
      </c>
      <c r="B28" s="4"/>
      <c r="C28" s="5" t="s">
        <v>401</v>
      </c>
      <c r="D28" s="12">
        <v>67</v>
      </c>
      <c r="E28" s="2" t="s">
        <v>68</v>
      </c>
      <c r="F28" s="4" t="s">
        <v>23</v>
      </c>
      <c r="G28" s="4" t="s">
        <v>23</v>
      </c>
      <c r="H28" s="7">
        <v>37327</v>
      </c>
      <c r="I28" s="21">
        <f t="shared" ca="1" si="0"/>
        <v>24</v>
      </c>
      <c r="J28" s="8">
        <v>0</v>
      </c>
      <c r="K28" s="8">
        <v>8000000</v>
      </c>
      <c r="L28" s="8">
        <v>70000</v>
      </c>
      <c r="M28" s="8">
        <f>(Table2[[#This Row],[Salary/
Week]]*52)</f>
        <v>3640000</v>
      </c>
      <c r="N28" s="9">
        <v>45099</v>
      </c>
      <c r="O28" s="10">
        <v>47664</v>
      </c>
      <c r="P28" s="4">
        <f t="shared" ca="1" si="1"/>
        <v>3</v>
      </c>
      <c r="Q28" s="4">
        <f t="shared" ca="1" si="2"/>
        <v>3</v>
      </c>
      <c r="R28" s="4">
        <f t="shared" ca="1" si="3"/>
        <v>45</v>
      </c>
      <c r="S28" s="4"/>
      <c r="T28" s="4"/>
      <c r="U28" s="4"/>
      <c r="V28" s="4" t="s">
        <v>397</v>
      </c>
      <c r="W28" s="2"/>
      <c r="X28" s="4"/>
    </row>
    <row r="29" spans="1:24" x14ac:dyDescent="0.25">
      <c r="A29" s="1" t="s">
        <v>66</v>
      </c>
      <c r="B29" s="4"/>
      <c r="C29" s="5" t="s">
        <v>402</v>
      </c>
      <c r="D29" s="12">
        <v>45</v>
      </c>
      <c r="E29" s="2" t="s">
        <v>69</v>
      </c>
      <c r="F29" s="4" t="s">
        <v>23</v>
      </c>
      <c r="G29" s="4" t="s">
        <v>23</v>
      </c>
      <c r="H29" s="7">
        <v>36286</v>
      </c>
      <c r="I29" s="21">
        <f t="shared" ca="1" si="0"/>
        <v>27</v>
      </c>
      <c r="J29" s="8">
        <v>0</v>
      </c>
      <c r="K29" s="8">
        <v>0</v>
      </c>
      <c r="L29" s="8">
        <v>70000</v>
      </c>
      <c r="M29" s="8">
        <f>(Table2[[#This Row],[Salary/
Week]]*52)</f>
        <v>3640000</v>
      </c>
      <c r="N29" s="9">
        <v>45108</v>
      </c>
      <c r="O29" s="10">
        <v>47664</v>
      </c>
      <c r="P29" s="4">
        <f t="shared" ca="1" si="1"/>
        <v>3</v>
      </c>
      <c r="Q29" s="4">
        <f t="shared" ca="1" si="2"/>
        <v>3</v>
      </c>
      <c r="R29" s="4">
        <f t="shared" ca="1" si="3"/>
        <v>45</v>
      </c>
      <c r="S29" s="4"/>
      <c r="T29" s="4"/>
      <c r="U29" s="4"/>
      <c r="V29" s="4" t="s">
        <v>398</v>
      </c>
      <c r="W29" s="2"/>
      <c r="X29" s="4"/>
    </row>
    <row r="30" spans="1:24" x14ac:dyDescent="0.25">
      <c r="A30" s="1" t="s">
        <v>66</v>
      </c>
      <c r="B30" s="4"/>
      <c r="C30" s="5" t="s">
        <v>400</v>
      </c>
      <c r="D30" s="12">
        <v>24</v>
      </c>
      <c r="E30" s="2" t="s">
        <v>70</v>
      </c>
      <c r="F30" s="4" t="s">
        <v>25</v>
      </c>
      <c r="G30" s="4" t="s">
        <v>37</v>
      </c>
      <c r="H30" s="7">
        <v>36902</v>
      </c>
      <c r="I30" s="21">
        <f t="shared" ca="1" si="0"/>
        <v>25</v>
      </c>
      <c r="J30" s="8">
        <v>50000000</v>
      </c>
      <c r="K30" s="8">
        <v>35000000</v>
      </c>
      <c r="L30" s="8">
        <v>243000</v>
      </c>
      <c r="M30" s="8">
        <f>(Table2[[#This Row],[Salary/
Week]]*52)</f>
        <v>12636000</v>
      </c>
      <c r="N30" s="9">
        <v>45110</v>
      </c>
      <c r="O30" s="10">
        <v>46934</v>
      </c>
      <c r="P30" s="4">
        <f t="shared" ca="1" si="1"/>
        <v>3</v>
      </c>
      <c r="Q30" s="4">
        <f t="shared" ca="1" si="2"/>
        <v>1</v>
      </c>
      <c r="R30" s="4">
        <f t="shared" ca="1" si="3"/>
        <v>21</v>
      </c>
      <c r="S30" s="4"/>
      <c r="T30" s="4"/>
      <c r="U30" s="4"/>
      <c r="V30" s="4" t="s">
        <v>396</v>
      </c>
      <c r="W30" s="2"/>
      <c r="X30" s="4"/>
    </row>
    <row r="31" spans="1:24" x14ac:dyDescent="0.25">
      <c r="A31" s="1" t="s">
        <v>66</v>
      </c>
      <c r="B31" s="4"/>
      <c r="C31" s="5" t="s">
        <v>401</v>
      </c>
      <c r="D31" s="12">
        <v>5</v>
      </c>
      <c r="E31" s="2" t="s">
        <v>71</v>
      </c>
      <c r="F31" s="4" t="s">
        <v>25</v>
      </c>
      <c r="G31" s="4" t="s">
        <v>37</v>
      </c>
      <c r="H31" s="7">
        <v>37921</v>
      </c>
      <c r="I31" s="21">
        <f t="shared" ca="1" si="0"/>
        <v>22</v>
      </c>
      <c r="J31" s="8">
        <v>40000000</v>
      </c>
      <c r="K31" s="8">
        <v>45000000</v>
      </c>
      <c r="L31" s="8">
        <v>25000</v>
      </c>
      <c r="M31" s="8">
        <f>(Table2[[#This Row],[Salary/
Week]]*52)</f>
        <v>1300000</v>
      </c>
      <c r="N31" s="9">
        <v>45117</v>
      </c>
      <c r="O31" s="10">
        <v>46934</v>
      </c>
      <c r="P31" s="4">
        <f t="shared" ca="1" si="1"/>
        <v>3</v>
      </c>
      <c r="Q31" s="4">
        <f t="shared" ca="1" si="2"/>
        <v>1</v>
      </c>
      <c r="R31" s="4">
        <f t="shared" ca="1" si="3"/>
        <v>21</v>
      </c>
      <c r="S31" s="4"/>
      <c r="T31" s="4"/>
      <c r="U31" s="4"/>
      <c r="V31" s="4" t="s">
        <v>396</v>
      </c>
      <c r="W31" s="2"/>
      <c r="X31" s="4"/>
    </row>
    <row r="32" spans="1:24" x14ac:dyDescent="0.25">
      <c r="A32" s="1" t="s">
        <v>66</v>
      </c>
      <c r="B32" s="4"/>
      <c r="C32" s="5" t="s">
        <v>401</v>
      </c>
      <c r="D32" s="12">
        <v>2</v>
      </c>
      <c r="E32" s="2" t="s">
        <v>72</v>
      </c>
      <c r="F32" s="4" t="s">
        <v>26</v>
      </c>
      <c r="G32" s="4" t="s">
        <v>26</v>
      </c>
      <c r="H32" s="7">
        <v>35778</v>
      </c>
      <c r="I32" s="21">
        <f t="shared" ca="1" si="0"/>
        <v>28</v>
      </c>
      <c r="J32" s="8">
        <v>20000000</v>
      </c>
      <c r="K32" s="8">
        <v>25000000</v>
      </c>
      <c r="L32" s="8">
        <v>45000</v>
      </c>
      <c r="M32" s="8">
        <f>(Table2[[#This Row],[Salary/
Week]]*52)</f>
        <v>2340000</v>
      </c>
      <c r="N32" s="9">
        <v>45516</v>
      </c>
      <c r="O32" s="10">
        <v>47299</v>
      </c>
      <c r="P32" s="4">
        <f t="shared" ca="1" si="1"/>
        <v>2</v>
      </c>
      <c r="Q32" s="4">
        <f t="shared" ca="1" si="2"/>
        <v>2</v>
      </c>
      <c r="R32" s="4">
        <f t="shared" ca="1" si="3"/>
        <v>33</v>
      </c>
      <c r="S32" s="4"/>
      <c r="T32" s="4"/>
      <c r="U32" s="4"/>
      <c r="V32" s="4" t="s">
        <v>396</v>
      </c>
      <c r="W32" s="15" t="s">
        <v>487</v>
      </c>
      <c r="X32" s="4"/>
    </row>
    <row r="33" spans="1:24" x14ac:dyDescent="0.25">
      <c r="A33" s="1" t="s">
        <v>66</v>
      </c>
      <c r="B33" s="4"/>
      <c r="C33" s="5" t="s">
        <v>400</v>
      </c>
      <c r="D33" s="12">
        <v>4</v>
      </c>
      <c r="E33" s="2" t="s">
        <v>73</v>
      </c>
      <c r="F33" s="4" t="s">
        <v>26</v>
      </c>
      <c r="G33" s="4" t="s">
        <v>26</v>
      </c>
      <c r="H33" s="7">
        <v>36146</v>
      </c>
      <c r="I33" s="21">
        <f t="shared" ca="1" si="0"/>
        <v>27</v>
      </c>
      <c r="J33" s="8">
        <v>30000000</v>
      </c>
      <c r="K33" s="8">
        <v>40000000</v>
      </c>
      <c r="L33" s="8">
        <v>320000</v>
      </c>
      <c r="M33" s="8">
        <f>(Table2[[#This Row],[Salary/
Week]]*52)</f>
        <v>16640000</v>
      </c>
      <c r="N33" s="9">
        <v>44006</v>
      </c>
      <c r="O33" s="10">
        <v>46934</v>
      </c>
      <c r="P33" s="4">
        <f t="shared" ca="1" si="1"/>
        <v>6</v>
      </c>
      <c r="Q33" s="4">
        <f t="shared" ca="1" si="2"/>
        <v>1</v>
      </c>
      <c r="R33" s="4">
        <f t="shared" ca="1" si="3"/>
        <v>21</v>
      </c>
      <c r="S33" s="4"/>
      <c r="T33" s="4"/>
      <c r="U33" s="4"/>
      <c r="V33" s="4" t="s">
        <v>396</v>
      </c>
      <c r="W33" s="16" t="s">
        <v>488</v>
      </c>
      <c r="X33" s="4"/>
    </row>
    <row r="34" spans="1:24" x14ac:dyDescent="0.25">
      <c r="A34" s="1" t="s">
        <v>66</v>
      </c>
      <c r="B34" s="4"/>
      <c r="C34" s="5" t="s">
        <v>400</v>
      </c>
      <c r="D34" s="12">
        <v>42</v>
      </c>
      <c r="E34" s="2" t="s">
        <v>74</v>
      </c>
      <c r="F34" s="4" t="s">
        <v>26</v>
      </c>
      <c r="G34" s="4" t="s">
        <v>26</v>
      </c>
      <c r="H34" s="7">
        <v>36360</v>
      </c>
      <c r="I34" s="21">
        <f t="shared" ca="1" si="0"/>
        <v>27</v>
      </c>
      <c r="J34" s="8">
        <v>85000000</v>
      </c>
      <c r="K34" s="8">
        <v>60000000</v>
      </c>
      <c r="L34" s="8">
        <v>320000</v>
      </c>
      <c r="M34" s="8">
        <f>(Table2[[#This Row],[Salary/
Week]]*52)</f>
        <v>16640000</v>
      </c>
      <c r="N34" s="9">
        <v>44017</v>
      </c>
      <c r="O34" s="10">
        <v>46934</v>
      </c>
      <c r="P34" s="4">
        <f t="shared" ca="1" si="1"/>
        <v>6</v>
      </c>
      <c r="Q34" s="4">
        <f t="shared" ca="1" si="2"/>
        <v>1</v>
      </c>
      <c r="R34" s="4">
        <f t="shared" ca="1" si="3"/>
        <v>21</v>
      </c>
      <c r="S34" s="4"/>
      <c r="T34" s="4"/>
      <c r="U34" s="4"/>
      <c r="V34" s="4" t="s">
        <v>397</v>
      </c>
      <c r="W34" s="15" t="s">
        <v>486</v>
      </c>
      <c r="X34" s="4"/>
    </row>
    <row r="35" spans="1:24" x14ac:dyDescent="0.25">
      <c r="A35" s="1" t="s">
        <v>66</v>
      </c>
      <c r="B35" s="4"/>
      <c r="C35" s="5" t="s">
        <v>401</v>
      </c>
      <c r="D35" s="12">
        <v>3</v>
      </c>
      <c r="E35" s="2" t="s">
        <v>449</v>
      </c>
      <c r="F35" s="4" t="s">
        <v>26</v>
      </c>
      <c r="G35" s="4" t="s">
        <v>26</v>
      </c>
      <c r="H35" s="7">
        <v>37896</v>
      </c>
      <c r="I35" s="21">
        <f ca="1">DATEDIF(H35,TODAY(),"Y")</f>
        <v>22</v>
      </c>
      <c r="J35" s="8">
        <v>16000000</v>
      </c>
      <c r="K35" s="8">
        <v>16000000</v>
      </c>
      <c r="L35" s="8">
        <v>48000</v>
      </c>
      <c r="M35" s="8">
        <f>(Table2[[#This Row],[Salary/
Week]]*52)</f>
        <v>2496000</v>
      </c>
      <c r="N35" s="9">
        <v>46216</v>
      </c>
      <c r="O35" s="10">
        <v>47664</v>
      </c>
      <c r="P35" s="4">
        <f ca="1">DATEDIF(N35,TODAY(),"Y")</f>
        <v>0</v>
      </c>
      <c r="Q35" s="4">
        <f ca="1">DATEDIF(TODAY(),O35,"y")</f>
        <v>3</v>
      </c>
      <c r="R35" s="4">
        <f ca="1">DATEDIF(TODAY(),O35,"m")</f>
        <v>45</v>
      </c>
      <c r="S35" s="4"/>
      <c r="T35" s="4"/>
      <c r="U35" s="4"/>
      <c r="V35" s="4" t="s">
        <v>397</v>
      </c>
      <c r="W35" s="15" t="s">
        <v>487</v>
      </c>
      <c r="X35" s="4"/>
    </row>
    <row r="36" spans="1:24" x14ac:dyDescent="0.25">
      <c r="A36" s="1" t="s">
        <v>66</v>
      </c>
      <c r="B36" s="4"/>
      <c r="C36" s="5" t="s">
        <v>401</v>
      </c>
      <c r="D36" s="12">
        <v>22</v>
      </c>
      <c r="E36" s="2" t="s">
        <v>450</v>
      </c>
      <c r="F36" s="4" t="s">
        <v>26</v>
      </c>
      <c r="G36" s="4" t="s">
        <v>26</v>
      </c>
      <c r="H36" s="7">
        <v>38016</v>
      </c>
      <c r="I36" s="21">
        <f ca="1">DATEDIF(H36,TODAY(),"Y")</f>
        <v>22</v>
      </c>
      <c r="J36" s="8">
        <v>0</v>
      </c>
      <c r="K36" s="8">
        <v>12000000</v>
      </c>
      <c r="L36" s="8">
        <v>50000</v>
      </c>
      <c r="M36" s="8">
        <f>(Table2[[#This Row],[Salary/
Week]]*52)</f>
        <v>2600000</v>
      </c>
      <c r="N36" s="9">
        <v>46223</v>
      </c>
      <c r="O36" s="10">
        <v>49125</v>
      </c>
      <c r="P36" s="4">
        <f ca="1">DATEDIF(N36,TODAY(),"Y")</f>
        <v>0</v>
      </c>
      <c r="Q36" s="4">
        <f ca="1">DATEDIF(TODAY(),O36,"y")</f>
        <v>7</v>
      </c>
      <c r="R36" s="4">
        <f ca="1">DATEDIF(TODAY(),O36,"m")</f>
        <v>93</v>
      </c>
      <c r="S36" s="4"/>
      <c r="T36" s="4"/>
      <c r="U36" s="4"/>
      <c r="V36" s="4" t="s">
        <v>397</v>
      </c>
      <c r="W36" s="2"/>
      <c r="X36" s="4"/>
    </row>
    <row r="37" spans="1:24" x14ac:dyDescent="0.25">
      <c r="A37" s="1" t="s">
        <v>66</v>
      </c>
      <c r="B37" s="4"/>
      <c r="C37" s="5" t="s">
        <v>400</v>
      </c>
      <c r="D37" s="12">
        <v>44</v>
      </c>
      <c r="E37" s="2" t="s">
        <v>315</v>
      </c>
      <c r="F37" s="4" t="s">
        <v>27</v>
      </c>
      <c r="G37" s="4" t="s">
        <v>38</v>
      </c>
      <c r="H37" s="7">
        <v>36944</v>
      </c>
      <c r="I37" s="21">
        <f ca="1">DATEDIF(H37,TODAY(),"Y")</f>
        <v>25</v>
      </c>
      <c r="J37" s="8">
        <v>85000000</v>
      </c>
      <c r="K37" s="8">
        <v>60000000</v>
      </c>
      <c r="L37" s="8">
        <v>230000</v>
      </c>
      <c r="M37" s="8">
        <f>(Table2[[#This Row],[Salary/
Week]]*52)</f>
        <v>11960000</v>
      </c>
      <c r="N37" s="9">
        <v>46231</v>
      </c>
      <c r="O37" s="10">
        <v>49490</v>
      </c>
      <c r="P37" s="4">
        <f ca="1">DATEDIF(N37,TODAY(),"Y")</f>
        <v>0</v>
      </c>
      <c r="Q37" s="4">
        <f ca="1">DATEDIF(TODAY(),O37,"y")</f>
        <v>8</v>
      </c>
      <c r="R37" s="4">
        <f ca="1">DATEDIF(TODAY(),O37,"m")</f>
        <v>105</v>
      </c>
      <c r="S37" s="4"/>
      <c r="T37" s="4"/>
      <c r="U37" s="4"/>
      <c r="V37" s="4" t="s">
        <v>397</v>
      </c>
      <c r="W37" s="15" t="s">
        <v>489</v>
      </c>
      <c r="X37" s="4"/>
    </row>
    <row r="38" spans="1:24" x14ac:dyDescent="0.25">
      <c r="A38" s="1" t="s">
        <v>66</v>
      </c>
      <c r="B38" s="4"/>
      <c r="C38" s="5" t="s">
        <v>401</v>
      </c>
      <c r="D38" s="12">
        <v>71</v>
      </c>
      <c r="E38" s="2" t="s">
        <v>76</v>
      </c>
      <c r="F38" s="4" t="s">
        <v>27</v>
      </c>
      <c r="G38" s="4" t="s">
        <v>38</v>
      </c>
      <c r="H38" s="7">
        <v>37012</v>
      </c>
      <c r="I38" s="21">
        <f t="shared" ca="1" si="0"/>
        <v>25</v>
      </c>
      <c r="J38" s="8">
        <v>30000000</v>
      </c>
      <c r="K38" s="8">
        <v>25000000</v>
      </c>
      <c r="L38" s="8">
        <v>100000</v>
      </c>
      <c r="M38" s="8">
        <f>(Table2[[#This Row],[Salary/
Week]]*52)</f>
        <v>5200000</v>
      </c>
      <c r="N38" s="9">
        <v>45484</v>
      </c>
      <c r="O38" s="10">
        <v>46934</v>
      </c>
      <c r="P38" s="4">
        <f t="shared" ca="1" si="1"/>
        <v>2</v>
      </c>
      <c r="Q38" s="4">
        <f t="shared" ca="1" si="2"/>
        <v>1</v>
      </c>
      <c r="R38" s="4">
        <f t="shared" ca="1" si="3"/>
        <v>21</v>
      </c>
      <c r="S38" s="4"/>
      <c r="T38" s="4"/>
      <c r="U38" s="4"/>
      <c r="V38" s="4" t="s">
        <v>397</v>
      </c>
      <c r="W38" s="2"/>
      <c r="X38" s="4"/>
    </row>
    <row r="39" spans="1:24" x14ac:dyDescent="0.25">
      <c r="A39" s="1" t="s">
        <v>66</v>
      </c>
      <c r="B39" s="4"/>
      <c r="C39" s="5" t="s">
        <v>401</v>
      </c>
      <c r="D39" s="12">
        <v>18</v>
      </c>
      <c r="E39" s="2" t="s">
        <v>78</v>
      </c>
      <c r="F39" s="4" t="s">
        <v>28</v>
      </c>
      <c r="G39" s="4" t="s">
        <v>26</v>
      </c>
      <c r="H39" s="7">
        <v>36985</v>
      </c>
      <c r="I39" s="21">
        <f t="shared" ca="1" si="0"/>
        <v>25</v>
      </c>
      <c r="J39" s="8">
        <v>0</v>
      </c>
      <c r="K39" s="8">
        <v>15000000</v>
      </c>
      <c r="L39" s="8">
        <v>45000</v>
      </c>
      <c r="M39" s="8">
        <f>(Table2[[#This Row],[Salary/
Week]]*52)</f>
        <v>2340000</v>
      </c>
      <c r="N39" s="9">
        <v>45493</v>
      </c>
      <c r="O39" s="10">
        <v>47299</v>
      </c>
      <c r="P39" s="4">
        <f t="shared" ca="1" si="1"/>
        <v>2</v>
      </c>
      <c r="Q39" s="4">
        <f t="shared" ca="1" si="2"/>
        <v>2</v>
      </c>
      <c r="R39" s="4">
        <f t="shared" ca="1" si="3"/>
        <v>33</v>
      </c>
      <c r="S39" s="4"/>
      <c r="T39" s="4"/>
      <c r="U39" s="4"/>
      <c r="V39" s="4" t="s">
        <v>397</v>
      </c>
      <c r="W39" s="2"/>
      <c r="X39" s="4"/>
    </row>
    <row r="40" spans="1:24" x14ac:dyDescent="0.25">
      <c r="A40" s="1" t="s">
        <v>66</v>
      </c>
      <c r="B40" s="4"/>
      <c r="C40" s="5" t="s">
        <v>400</v>
      </c>
      <c r="D40" s="12">
        <v>6</v>
      </c>
      <c r="E40" s="2" t="s">
        <v>79</v>
      </c>
      <c r="F40" s="4" t="s">
        <v>28</v>
      </c>
      <c r="G40" s="4" t="s">
        <v>30</v>
      </c>
      <c r="H40" s="7">
        <v>35265</v>
      </c>
      <c r="I40" s="21">
        <f t="shared" ca="1" si="0"/>
        <v>30</v>
      </c>
      <c r="J40" s="8">
        <v>43500000</v>
      </c>
      <c r="K40" s="8">
        <v>50000000</v>
      </c>
      <c r="L40" s="8">
        <v>600000</v>
      </c>
      <c r="M40" s="8">
        <f>(Table2[[#This Row],[Salary/
Week]]*52)</f>
        <v>31200000</v>
      </c>
      <c r="N40" s="9">
        <v>44715</v>
      </c>
      <c r="O40" s="10">
        <v>46568</v>
      </c>
      <c r="P40" s="4">
        <f t="shared" ca="1" si="1"/>
        <v>4</v>
      </c>
      <c r="Q40" s="4">
        <f t="shared" ca="1" si="2"/>
        <v>0</v>
      </c>
      <c r="R40" s="4">
        <f t="shared" ca="1" si="3"/>
        <v>9</v>
      </c>
      <c r="S40" s="4"/>
      <c r="T40" s="4"/>
      <c r="U40" s="4"/>
      <c r="V40" s="4" t="s">
        <v>397</v>
      </c>
      <c r="W40" s="16" t="s">
        <v>490</v>
      </c>
      <c r="X40" s="4"/>
    </row>
    <row r="41" spans="1:24" x14ac:dyDescent="0.25">
      <c r="A41" s="1" t="s">
        <v>66</v>
      </c>
      <c r="B41" s="4"/>
      <c r="C41" s="5" t="s">
        <v>402</v>
      </c>
      <c r="D41" s="12">
        <v>14</v>
      </c>
      <c r="E41" s="2" t="s">
        <v>80</v>
      </c>
      <c r="F41" s="4" t="s">
        <v>28</v>
      </c>
      <c r="G41" s="4" t="s">
        <v>29</v>
      </c>
      <c r="H41" s="7">
        <v>35877</v>
      </c>
      <c r="I41" s="21">
        <f t="shared" ca="1" si="0"/>
        <v>28</v>
      </c>
      <c r="J41" s="8">
        <v>25000000</v>
      </c>
      <c r="K41" s="8">
        <v>25000000</v>
      </c>
      <c r="L41" s="8">
        <v>70000</v>
      </c>
      <c r="M41" s="8">
        <f>(Table2[[#This Row],[Salary/
Week]]*52)</f>
        <v>3640000</v>
      </c>
      <c r="N41" s="9">
        <v>45501</v>
      </c>
      <c r="O41" s="10">
        <v>47299</v>
      </c>
      <c r="P41" s="4">
        <f t="shared" ca="1" si="1"/>
        <v>2</v>
      </c>
      <c r="Q41" s="4">
        <f t="shared" ca="1" si="2"/>
        <v>2</v>
      </c>
      <c r="R41" s="4">
        <f t="shared" ca="1" si="3"/>
        <v>33</v>
      </c>
      <c r="S41" s="4"/>
      <c r="T41" s="4"/>
      <c r="U41" s="4"/>
      <c r="V41" s="4" t="s">
        <v>397</v>
      </c>
      <c r="W41" s="2"/>
      <c r="X41" s="4"/>
    </row>
    <row r="42" spans="1:24" x14ac:dyDescent="0.25">
      <c r="A42" s="1" t="s">
        <v>66</v>
      </c>
      <c r="B42" s="4" t="s">
        <v>57</v>
      </c>
      <c r="C42" s="5" t="s">
        <v>400</v>
      </c>
      <c r="D42" s="12">
        <v>8</v>
      </c>
      <c r="E42" s="2" t="s">
        <v>81</v>
      </c>
      <c r="F42" s="4" t="s">
        <v>29</v>
      </c>
      <c r="G42" s="4" t="s">
        <v>28</v>
      </c>
      <c r="H42" s="7">
        <v>35726</v>
      </c>
      <c r="I42" s="21">
        <f t="shared" ca="1" si="0"/>
        <v>28</v>
      </c>
      <c r="J42" s="8">
        <v>85000000</v>
      </c>
      <c r="K42" s="8">
        <v>130000000</v>
      </c>
      <c r="L42" s="8">
        <v>300000</v>
      </c>
      <c r="M42" s="8">
        <f>(Table2[[#This Row],[Salary/
Week]]*52)</f>
        <v>15600000</v>
      </c>
      <c r="N42" s="9">
        <v>45064</v>
      </c>
      <c r="O42" s="10">
        <v>46934</v>
      </c>
      <c r="P42" s="4">
        <f t="shared" ca="1" si="1"/>
        <v>3</v>
      </c>
      <c r="Q42" s="4">
        <f t="shared" ca="1" si="2"/>
        <v>1</v>
      </c>
      <c r="R42" s="4">
        <f t="shared" ca="1" si="3"/>
        <v>21</v>
      </c>
      <c r="S42" s="4"/>
      <c r="T42" s="4"/>
      <c r="U42" s="4"/>
      <c r="V42" s="4" t="s">
        <v>398</v>
      </c>
      <c r="W42" s="16" t="s">
        <v>666</v>
      </c>
      <c r="X42" s="4"/>
    </row>
    <row r="43" spans="1:24" x14ac:dyDescent="0.25">
      <c r="A43" s="1" t="s">
        <v>66</v>
      </c>
      <c r="B43" s="4" t="s">
        <v>47</v>
      </c>
      <c r="C43" s="5" t="s">
        <v>400</v>
      </c>
      <c r="D43" s="12">
        <v>10</v>
      </c>
      <c r="E43" s="2" t="s">
        <v>83</v>
      </c>
      <c r="F43" s="4" t="s">
        <v>29</v>
      </c>
      <c r="G43" s="4" t="s">
        <v>30</v>
      </c>
      <c r="H43" s="7">
        <v>35974</v>
      </c>
      <c r="I43" s="21">
        <f t="shared" ca="1" si="0"/>
        <v>28</v>
      </c>
      <c r="J43" s="8">
        <v>131000000</v>
      </c>
      <c r="K43" s="8">
        <v>75000000</v>
      </c>
      <c r="L43" s="8">
        <v>450000</v>
      </c>
      <c r="M43" s="8">
        <f>(Table2[[#This Row],[Salary/
Week]]*52)</f>
        <v>23400000</v>
      </c>
      <c r="N43" s="9">
        <v>45118</v>
      </c>
      <c r="O43" s="10">
        <v>46934</v>
      </c>
      <c r="P43" s="4">
        <f t="shared" ca="1" si="1"/>
        <v>3</v>
      </c>
      <c r="Q43" s="4">
        <f t="shared" ca="1" si="2"/>
        <v>1</v>
      </c>
      <c r="R43" s="4">
        <f t="shared" ca="1" si="3"/>
        <v>21</v>
      </c>
      <c r="S43" s="4"/>
      <c r="T43" s="4"/>
      <c r="U43" s="4"/>
      <c r="V43" s="4" t="s">
        <v>397</v>
      </c>
      <c r="W43" s="15" t="s">
        <v>491</v>
      </c>
      <c r="X43" s="4"/>
    </row>
    <row r="44" spans="1:24" x14ac:dyDescent="0.25">
      <c r="A44" s="1" t="s">
        <v>66</v>
      </c>
      <c r="B44" s="4"/>
      <c r="C44" s="5" t="s">
        <v>401</v>
      </c>
      <c r="D44" s="12">
        <v>21</v>
      </c>
      <c r="E44" s="2" t="s">
        <v>84</v>
      </c>
      <c r="F44" s="4" t="s">
        <v>29</v>
      </c>
      <c r="G44" s="4" t="s">
        <v>30</v>
      </c>
      <c r="H44" s="7">
        <v>38033</v>
      </c>
      <c r="I44" s="21">
        <f t="shared" ca="1" si="0"/>
        <v>22</v>
      </c>
      <c r="J44" s="8">
        <v>19000000</v>
      </c>
      <c r="K44" s="8">
        <v>21000000</v>
      </c>
      <c r="L44" s="8">
        <v>80000</v>
      </c>
      <c r="M44" s="8">
        <f>(Table2[[#This Row],[Salary/
Week]]*52)</f>
        <v>4160000</v>
      </c>
      <c r="N44" s="9">
        <v>45509</v>
      </c>
      <c r="O44" s="10">
        <v>47664</v>
      </c>
      <c r="P44" s="4">
        <f t="shared" ca="1" si="1"/>
        <v>2</v>
      </c>
      <c r="Q44" s="4">
        <f t="shared" ca="1" si="2"/>
        <v>3</v>
      </c>
      <c r="R44" s="4">
        <f t="shared" ca="1" si="3"/>
        <v>45</v>
      </c>
      <c r="S44" s="4"/>
      <c r="T44" s="4"/>
      <c r="U44" s="4"/>
      <c r="V44" s="4" t="s">
        <v>397</v>
      </c>
      <c r="W44" s="2"/>
      <c r="X44" s="4"/>
    </row>
    <row r="45" spans="1:24" x14ac:dyDescent="0.25">
      <c r="A45" s="1" t="s">
        <v>66</v>
      </c>
      <c r="B45" s="4"/>
      <c r="C45" s="5" t="s">
        <v>401</v>
      </c>
      <c r="D45" s="12">
        <v>11</v>
      </c>
      <c r="E45" s="2" t="s">
        <v>85</v>
      </c>
      <c r="F45" s="4" t="s">
        <v>36</v>
      </c>
      <c r="G45" s="4" t="s">
        <v>32</v>
      </c>
      <c r="H45" s="7">
        <v>36477</v>
      </c>
      <c r="I45" s="21">
        <f t="shared" ca="1" si="0"/>
        <v>26</v>
      </c>
      <c r="J45" s="8">
        <v>80000000</v>
      </c>
      <c r="K45" s="8">
        <v>50000000</v>
      </c>
      <c r="L45" s="8">
        <v>150000</v>
      </c>
      <c r="M45" s="8">
        <f>(Table2[[#This Row],[Salary/
Week]]*52)</f>
        <v>7800000</v>
      </c>
      <c r="N45" s="9">
        <v>45863</v>
      </c>
      <c r="O45" s="10">
        <v>47664</v>
      </c>
      <c r="P45" s="4">
        <f t="shared" ca="1" si="1"/>
        <v>1</v>
      </c>
      <c r="Q45" s="4">
        <f t="shared" ca="1" si="2"/>
        <v>3</v>
      </c>
      <c r="R45" s="4">
        <f t="shared" ca="1" si="3"/>
        <v>45</v>
      </c>
      <c r="S45" s="4"/>
      <c r="T45" s="4"/>
      <c r="U45" s="4"/>
      <c r="V45" s="4" t="s">
        <v>396</v>
      </c>
      <c r="W45" s="15" t="s">
        <v>492</v>
      </c>
      <c r="X45" s="4"/>
    </row>
    <row r="46" spans="1:24" x14ac:dyDescent="0.25">
      <c r="A46" s="1" t="s">
        <v>66</v>
      </c>
      <c r="B46" s="4"/>
      <c r="C46" s="5" t="s">
        <v>402</v>
      </c>
      <c r="D46" s="12">
        <v>22</v>
      </c>
      <c r="E46" s="2" t="s">
        <v>86</v>
      </c>
      <c r="F46" s="4" t="s">
        <v>36</v>
      </c>
      <c r="G46" s="4" t="s">
        <v>32</v>
      </c>
      <c r="H46" s="7">
        <v>35727</v>
      </c>
      <c r="I46" s="21">
        <f t="shared" ca="1" si="0"/>
        <v>28</v>
      </c>
      <c r="J46" s="8">
        <v>0</v>
      </c>
      <c r="K46" s="8">
        <v>10000000</v>
      </c>
      <c r="L46" s="8">
        <v>50000</v>
      </c>
      <c r="M46" s="8">
        <f>(Table2[[#This Row],[Salary/
Week]]*52)</f>
        <v>2600000</v>
      </c>
      <c r="N46" s="9">
        <v>45140</v>
      </c>
      <c r="O46" s="10">
        <v>46568</v>
      </c>
      <c r="P46" s="4">
        <f t="shared" ca="1" si="1"/>
        <v>3</v>
      </c>
      <c r="Q46" s="4">
        <f t="shared" ca="1" si="2"/>
        <v>0</v>
      </c>
      <c r="R46" s="4">
        <f t="shared" ca="1" si="3"/>
        <v>9</v>
      </c>
      <c r="S46" s="4"/>
      <c r="T46" s="4"/>
      <c r="U46" s="4"/>
      <c r="V46" s="4" t="s">
        <v>396</v>
      </c>
      <c r="W46" s="2"/>
      <c r="X46" s="4"/>
    </row>
    <row r="47" spans="1:24" x14ac:dyDescent="0.25">
      <c r="A47" s="1" t="s">
        <v>66</v>
      </c>
      <c r="B47" s="4"/>
      <c r="C47" s="5" t="s">
        <v>400</v>
      </c>
      <c r="D47" s="12">
        <v>12</v>
      </c>
      <c r="E47" s="2" t="s">
        <v>423</v>
      </c>
      <c r="F47" s="4" t="s">
        <v>35</v>
      </c>
      <c r="G47" s="4" t="s">
        <v>32</v>
      </c>
      <c r="H47" s="7">
        <v>37247</v>
      </c>
      <c r="I47" s="21">
        <f ca="1">DATEDIF(H47,TODAY(),"Y")</f>
        <v>24</v>
      </c>
      <c r="J47" s="8">
        <v>55000000</v>
      </c>
      <c r="K47" s="8">
        <v>45000000</v>
      </c>
      <c r="L47" s="8">
        <v>135000</v>
      </c>
      <c r="M47" s="8">
        <f>(Table2[[#This Row],[Salary/
Week]]*52)</f>
        <v>7020000</v>
      </c>
      <c r="N47" s="9">
        <v>46228</v>
      </c>
      <c r="O47" s="10">
        <v>47299</v>
      </c>
      <c r="P47" s="4">
        <f ca="1">DATEDIF(N47,TODAY(),"Y")</f>
        <v>0</v>
      </c>
      <c r="Q47" s="4">
        <f ca="1">DATEDIF(TODAY(),O47,"y")</f>
        <v>2</v>
      </c>
      <c r="R47" s="4">
        <f ca="1">DATEDIF(TODAY(),O47,"m")</f>
        <v>33</v>
      </c>
      <c r="S47" s="4"/>
      <c r="T47" s="4"/>
      <c r="U47" s="4"/>
      <c r="V47" s="4" t="s">
        <v>398</v>
      </c>
      <c r="W47" s="2" t="s">
        <v>534</v>
      </c>
      <c r="X47" s="4"/>
    </row>
    <row r="48" spans="1:24" x14ac:dyDescent="0.25">
      <c r="A48" s="1" t="s">
        <v>66</v>
      </c>
      <c r="B48" s="4"/>
      <c r="C48" s="5" t="s">
        <v>400</v>
      </c>
      <c r="D48" s="12">
        <v>9</v>
      </c>
      <c r="E48" s="2" t="s">
        <v>88</v>
      </c>
      <c r="F48" s="4" t="s">
        <v>31</v>
      </c>
      <c r="G48" s="4" t="s">
        <v>31</v>
      </c>
      <c r="H48" s="7">
        <v>36015</v>
      </c>
      <c r="I48" s="21">
        <f t="shared" ca="1" si="0"/>
        <v>28</v>
      </c>
      <c r="J48" s="8">
        <v>115000000</v>
      </c>
      <c r="K48" s="8">
        <v>80000000</v>
      </c>
      <c r="L48" s="8">
        <v>500000</v>
      </c>
      <c r="M48" s="8">
        <f>(Table2[[#This Row],[Salary/
Week]]*52)</f>
        <v>26000000</v>
      </c>
      <c r="N48" s="9">
        <v>45887</v>
      </c>
      <c r="O48" s="10">
        <v>47299</v>
      </c>
      <c r="P48" s="4">
        <f t="shared" ca="1" si="1"/>
        <v>1</v>
      </c>
      <c r="Q48" s="4">
        <f t="shared" ca="1" si="2"/>
        <v>2</v>
      </c>
      <c r="R48" s="4">
        <f t="shared" ca="1" si="3"/>
        <v>33</v>
      </c>
      <c r="S48" s="4"/>
      <c r="T48" s="4"/>
      <c r="U48" s="4"/>
      <c r="V48" s="4" t="s">
        <v>396</v>
      </c>
      <c r="W48" s="15" t="s">
        <v>493</v>
      </c>
      <c r="X48" s="4"/>
    </row>
    <row r="49" spans="1:24" x14ac:dyDescent="0.25">
      <c r="A49" s="1" t="s">
        <v>66</v>
      </c>
      <c r="B49" s="4"/>
      <c r="C49" s="5" t="s">
        <v>401</v>
      </c>
      <c r="D49" s="12">
        <v>38</v>
      </c>
      <c r="E49" s="2" t="s">
        <v>424</v>
      </c>
      <c r="F49" s="4" t="s">
        <v>31</v>
      </c>
      <c r="G49" s="4" t="s">
        <v>31</v>
      </c>
      <c r="H49" s="7">
        <v>40065</v>
      </c>
      <c r="I49" s="21">
        <f ca="1">DATEDIF(H49,TODAY(),"Y")</f>
        <v>17</v>
      </c>
      <c r="J49" s="8">
        <v>1000</v>
      </c>
      <c r="K49" s="8">
        <v>2000000</v>
      </c>
      <c r="L49" s="8">
        <v>50000</v>
      </c>
      <c r="M49" s="8">
        <f>(Table2[[#This Row],[Salary/
Week]]*52)</f>
        <v>2600000</v>
      </c>
      <c r="N49" s="9">
        <v>46230</v>
      </c>
      <c r="O49" s="10">
        <v>51317</v>
      </c>
      <c r="P49" s="4">
        <f ca="1">DATEDIF(N49,TODAY(),"Y")</f>
        <v>0</v>
      </c>
      <c r="Q49" s="4">
        <f ca="1">DATEDIF(TODAY(),O49,"y")</f>
        <v>13</v>
      </c>
      <c r="R49" s="4">
        <f ca="1">DATEDIF(TODAY(),O49,"m")</f>
        <v>165</v>
      </c>
      <c r="S49" s="4"/>
      <c r="T49" s="4"/>
      <c r="U49" s="4"/>
      <c r="V49" s="4" t="s">
        <v>397</v>
      </c>
      <c r="W49" s="15" t="s">
        <v>493</v>
      </c>
      <c r="X49" s="4"/>
    </row>
    <row r="50" spans="1:24" x14ac:dyDescent="0.25">
      <c r="A50" s="1" t="s">
        <v>66</v>
      </c>
      <c r="B50" s="4"/>
      <c r="C50" s="5" t="s">
        <v>401</v>
      </c>
      <c r="D50" s="12">
        <v>40</v>
      </c>
      <c r="E50" s="2" t="s">
        <v>89</v>
      </c>
      <c r="F50" s="4" t="s">
        <v>33</v>
      </c>
      <c r="G50" s="4" t="s">
        <v>35</v>
      </c>
      <c r="H50" s="7">
        <v>36229</v>
      </c>
      <c r="I50" s="21">
        <f t="shared" ca="1" si="0"/>
        <v>27</v>
      </c>
      <c r="J50" s="8">
        <v>18000000</v>
      </c>
      <c r="K50" s="8">
        <v>25000000</v>
      </c>
      <c r="L50" s="8">
        <v>70000</v>
      </c>
      <c r="M50" s="8">
        <f>(Table2[[#This Row],[Salary/
Week]]*52)</f>
        <v>3640000</v>
      </c>
      <c r="N50" s="9">
        <v>45507</v>
      </c>
      <c r="O50" s="10">
        <v>46568</v>
      </c>
      <c r="P50" s="4">
        <f t="shared" ca="1" si="1"/>
        <v>2</v>
      </c>
      <c r="Q50" s="4">
        <f t="shared" ca="1" si="2"/>
        <v>0</v>
      </c>
      <c r="R50" s="4">
        <f t="shared" ca="1" si="3"/>
        <v>9</v>
      </c>
      <c r="S50" s="4"/>
      <c r="T50" s="4"/>
      <c r="U50" s="4"/>
      <c r="V50" s="4" t="s">
        <v>397</v>
      </c>
      <c r="W50" s="2"/>
      <c r="X50" s="4"/>
    </row>
    <row r="51" spans="1:24" x14ac:dyDescent="0.25">
      <c r="A51" s="1" t="s">
        <v>66</v>
      </c>
      <c r="B51" s="4"/>
      <c r="C51" s="5" t="s">
        <v>400</v>
      </c>
      <c r="D51" s="12">
        <v>7</v>
      </c>
      <c r="E51" s="2" t="s">
        <v>90</v>
      </c>
      <c r="F51" s="4" t="s">
        <v>32</v>
      </c>
      <c r="G51" s="4" t="s">
        <v>35</v>
      </c>
      <c r="H51" s="7">
        <v>37449</v>
      </c>
      <c r="I51" s="21">
        <f t="shared" ca="1" si="0"/>
        <v>24</v>
      </c>
      <c r="J51" s="8">
        <v>60000000</v>
      </c>
      <c r="K51" s="8">
        <v>80000000</v>
      </c>
      <c r="L51" s="8">
        <v>500000</v>
      </c>
      <c r="M51" s="8">
        <f>(Table2[[#This Row],[Salary/
Week]]*52)</f>
        <v>26000000</v>
      </c>
      <c r="N51" s="9">
        <v>45141</v>
      </c>
      <c r="O51" s="10">
        <v>48029</v>
      </c>
      <c r="P51" s="4">
        <f t="shared" ca="1" si="1"/>
        <v>3</v>
      </c>
      <c r="Q51" s="4">
        <f t="shared" ca="1" si="2"/>
        <v>4</v>
      </c>
      <c r="R51" s="4">
        <f t="shared" ca="1" si="3"/>
        <v>57</v>
      </c>
      <c r="S51" s="4"/>
      <c r="T51" s="4"/>
      <c r="U51" s="4"/>
      <c r="V51" s="4" t="s">
        <v>397</v>
      </c>
      <c r="W51" s="15" t="s">
        <v>495</v>
      </c>
      <c r="X51" s="4"/>
    </row>
    <row r="52" spans="1:24" x14ac:dyDescent="0.25">
      <c r="A52" s="1" t="s">
        <v>91</v>
      </c>
      <c r="B52" s="4"/>
      <c r="C52" s="5" t="s">
        <v>401</v>
      </c>
      <c r="D52" s="12">
        <v>32</v>
      </c>
      <c r="E52" s="2" t="s">
        <v>92</v>
      </c>
      <c r="F52" s="4" t="s">
        <v>23</v>
      </c>
      <c r="G52" s="4" t="s">
        <v>23</v>
      </c>
      <c r="H52" s="7">
        <v>36412</v>
      </c>
      <c r="I52" s="21">
        <f t="shared" ca="1" si="0"/>
        <v>27</v>
      </c>
      <c r="J52" s="8">
        <v>2000000</v>
      </c>
      <c r="K52" s="8">
        <v>5000000</v>
      </c>
      <c r="L52" s="8">
        <v>50000</v>
      </c>
      <c r="M52" s="8">
        <f>(Table2[[#This Row],[Salary/
Week]]*52)</f>
        <v>2600000</v>
      </c>
      <c r="N52" s="9">
        <v>45151</v>
      </c>
      <c r="O52" s="10">
        <v>47299</v>
      </c>
      <c r="P52" s="4">
        <f t="shared" ca="1" si="1"/>
        <v>3</v>
      </c>
      <c r="Q52" s="4">
        <f t="shared" ca="1" si="2"/>
        <v>2</v>
      </c>
      <c r="R52" s="4">
        <f t="shared" ca="1" si="3"/>
        <v>33</v>
      </c>
      <c r="S52" s="4"/>
      <c r="T52" s="4"/>
      <c r="U52" s="4"/>
      <c r="V52" s="4" t="s">
        <v>397</v>
      </c>
      <c r="W52" s="2"/>
      <c r="X52" s="4"/>
    </row>
    <row r="53" spans="1:24" x14ac:dyDescent="0.25">
      <c r="A53" s="1" t="s">
        <v>91</v>
      </c>
      <c r="B53" s="4"/>
      <c r="C53" s="5" t="s">
        <v>400</v>
      </c>
      <c r="D53" s="12">
        <v>1</v>
      </c>
      <c r="E53" s="2" t="s">
        <v>93</v>
      </c>
      <c r="F53" s="4" t="s">
        <v>23</v>
      </c>
      <c r="G53" s="4" t="s">
        <v>23</v>
      </c>
      <c r="H53" s="7">
        <v>35087</v>
      </c>
      <c r="I53" s="21">
        <f t="shared" ca="1" si="0"/>
        <v>30</v>
      </c>
      <c r="J53" s="8">
        <v>0</v>
      </c>
      <c r="K53" s="8">
        <v>14000000</v>
      </c>
      <c r="L53" s="8">
        <v>350000</v>
      </c>
      <c r="M53" s="8">
        <f>(Table2[[#This Row],[Salary/
Week]]*52)</f>
        <v>18200000</v>
      </c>
      <c r="N53" s="9">
        <v>44930</v>
      </c>
      <c r="O53" s="10">
        <v>47664</v>
      </c>
      <c r="P53" s="4">
        <f t="shared" ca="1" si="1"/>
        <v>3</v>
      </c>
      <c r="Q53" s="4">
        <f t="shared" ca="1" si="2"/>
        <v>3</v>
      </c>
      <c r="R53" s="4">
        <f t="shared" ca="1" si="3"/>
        <v>45</v>
      </c>
      <c r="S53" s="4"/>
      <c r="T53" s="4"/>
      <c r="U53" s="4"/>
      <c r="V53" s="4" t="s">
        <v>397</v>
      </c>
      <c r="W53" s="16" t="s">
        <v>496</v>
      </c>
      <c r="X53" s="4"/>
    </row>
    <row r="54" spans="1:24" x14ac:dyDescent="0.25">
      <c r="A54" s="1" t="s">
        <v>91</v>
      </c>
      <c r="B54" s="4"/>
      <c r="C54" s="5" t="s">
        <v>400</v>
      </c>
      <c r="D54" s="12">
        <v>5</v>
      </c>
      <c r="E54" s="2" t="s">
        <v>94</v>
      </c>
      <c r="F54" s="4" t="s">
        <v>25</v>
      </c>
      <c r="G54" s="4" t="s">
        <v>26</v>
      </c>
      <c r="H54" s="7">
        <v>35100</v>
      </c>
      <c r="I54" s="21">
        <f t="shared" ca="1" si="0"/>
        <v>30</v>
      </c>
      <c r="J54" s="8">
        <v>60000000</v>
      </c>
      <c r="K54" s="8">
        <v>40000000</v>
      </c>
      <c r="L54" s="8">
        <v>120000</v>
      </c>
      <c r="M54" s="8">
        <f>(Table2[[#This Row],[Salary/
Week]]*52)</f>
        <v>6240000</v>
      </c>
      <c r="N54" s="9">
        <v>45137</v>
      </c>
      <c r="O54" s="10">
        <v>47664</v>
      </c>
      <c r="P54" s="4">
        <f t="shared" ca="1" si="1"/>
        <v>3</v>
      </c>
      <c r="Q54" s="4">
        <f t="shared" ca="1" si="2"/>
        <v>3</v>
      </c>
      <c r="R54" s="4">
        <f t="shared" ca="1" si="3"/>
        <v>45</v>
      </c>
      <c r="S54" s="4"/>
      <c r="T54" s="4"/>
      <c r="U54" s="4"/>
      <c r="V54" s="4" t="s">
        <v>396</v>
      </c>
      <c r="W54" s="15" t="s">
        <v>468</v>
      </c>
      <c r="X54" s="4"/>
    </row>
    <row r="55" spans="1:24" x14ac:dyDescent="0.25">
      <c r="A55" s="1" t="s">
        <v>91</v>
      </c>
      <c r="B55" s="4"/>
      <c r="C55" s="5" t="s">
        <v>401</v>
      </c>
      <c r="D55" s="12">
        <v>54</v>
      </c>
      <c r="E55" s="2" t="s">
        <v>429</v>
      </c>
      <c r="F55" s="4" t="s">
        <v>25</v>
      </c>
      <c r="G55" s="4" t="s">
        <v>25</v>
      </c>
      <c r="H55" s="7">
        <v>37407</v>
      </c>
      <c r="I55" s="21">
        <f ca="1">DATEDIF(H55,TODAY(),"Y")</f>
        <v>24</v>
      </c>
      <c r="J55" s="8">
        <v>35000000</v>
      </c>
      <c r="K55" s="8">
        <v>30000000</v>
      </c>
      <c r="L55" s="8">
        <v>68000</v>
      </c>
      <c r="M55" s="8">
        <f>(Table2[[#This Row],[Salary/
Week]]*52)</f>
        <v>3536000</v>
      </c>
      <c r="N55" s="9">
        <v>46231</v>
      </c>
      <c r="O55" s="10">
        <v>49125</v>
      </c>
      <c r="P55" s="4">
        <f ca="1">DATEDIF(N55,TODAY(),"Y")</f>
        <v>0</v>
      </c>
      <c r="Q55" s="4">
        <f ca="1">DATEDIF(TODAY(),O55,"y")</f>
        <v>7</v>
      </c>
      <c r="R55" s="4">
        <f ca="1">DATEDIF(TODAY(),O55,"m")</f>
        <v>93</v>
      </c>
      <c r="S55" s="4"/>
      <c r="T55" s="4"/>
      <c r="U55" s="4"/>
      <c r="V55" s="4" t="s">
        <v>396</v>
      </c>
      <c r="W55" s="2"/>
      <c r="X55" s="4"/>
    </row>
    <row r="56" spans="1:24" x14ac:dyDescent="0.25">
      <c r="A56" s="1" t="s">
        <v>91</v>
      </c>
      <c r="B56" s="4" t="s">
        <v>47</v>
      </c>
      <c r="C56" s="5" t="s">
        <v>400</v>
      </c>
      <c r="D56" s="12">
        <v>21</v>
      </c>
      <c r="E56" s="2" t="s">
        <v>95</v>
      </c>
      <c r="F56" s="4" t="s">
        <v>26</v>
      </c>
      <c r="G56" s="4" t="s">
        <v>25</v>
      </c>
      <c r="H56" s="7">
        <v>37712</v>
      </c>
      <c r="I56" s="21">
        <f t="shared" ca="1" si="0"/>
        <v>23</v>
      </c>
      <c r="J56" s="8">
        <v>75000000</v>
      </c>
      <c r="K56" s="8">
        <v>100000000</v>
      </c>
      <c r="L56" s="8">
        <v>180000</v>
      </c>
      <c r="M56" s="8">
        <f>(Table2[[#This Row],[Salary/
Week]]*52)</f>
        <v>9360000</v>
      </c>
      <c r="N56" s="9">
        <v>45871</v>
      </c>
      <c r="O56" s="10">
        <v>48029</v>
      </c>
      <c r="P56" s="4">
        <f t="shared" ca="1" si="1"/>
        <v>1</v>
      </c>
      <c r="Q56" s="4">
        <f t="shared" ca="1" si="2"/>
        <v>4</v>
      </c>
      <c r="R56" s="4">
        <f t="shared" ca="1" si="3"/>
        <v>57</v>
      </c>
      <c r="S56" s="4"/>
      <c r="T56" s="4"/>
      <c r="U56" s="4"/>
      <c r="V56" s="4" t="s">
        <v>396</v>
      </c>
      <c r="W56" s="15" t="s">
        <v>667</v>
      </c>
      <c r="X56" s="4"/>
    </row>
    <row r="57" spans="1:24" x14ac:dyDescent="0.25">
      <c r="A57" s="1" t="s">
        <v>91</v>
      </c>
      <c r="B57" s="4"/>
      <c r="C57" s="5" t="s">
        <v>400</v>
      </c>
      <c r="D57" s="12">
        <v>3</v>
      </c>
      <c r="E57" s="2" t="s">
        <v>96</v>
      </c>
      <c r="F57" s="4" t="s">
        <v>26</v>
      </c>
      <c r="G57" s="4" t="s">
        <v>26</v>
      </c>
      <c r="H57" s="7">
        <v>35902</v>
      </c>
      <c r="I57" s="21">
        <f t="shared" ca="1" si="0"/>
        <v>28</v>
      </c>
      <c r="J57" s="8">
        <v>14500000</v>
      </c>
      <c r="K57" s="8">
        <v>50000000</v>
      </c>
      <c r="L57" s="8">
        <v>150000</v>
      </c>
      <c r="M57" s="8">
        <f>(Table2[[#This Row],[Salary/
Week]]*52)</f>
        <v>7800000</v>
      </c>
      <c r="N57" s="9">
        <v>44004</v>
      </c>
      <c r="O57" s="10">
        <v>47664</v>
      </c>
      <c r="P57" s="4">
        <f t="shared" ca="1" si="1"/>
        <v>6</v>
      </c>
      <c r="Q57" s="4">
        <f t="shared" ca="1" si="2"/>
        <v>3</v>
      </c>
      <c r="R57" s="4">
        <f t="shared" ca="1" si="3"/>
        <v>45</v>
      </c>
      <c r="S57" s="4"/>
      <c r="T57" s="4"/>
      <c r="U57" s="4"/>
      <c r="V57" s="4" t="s">
        <v>397</v>
      </c>
      <c r="W57" s="16" t="s">
        <v>464</v>
      </c>
      <c r="X57" s="4"/>
    </row>
    <row r="58" spans="1:24" x14ac:dyDescent="0.25">
      <c r="A58" s="1" t="s">
        <v>91</v>
      </c>
      <c r="B58" s="4"/>
      <c r="C58" s="5" t="s">
        <v>402</v>
      </c>
      <c r="D58" s="12">
        <v>35</v>
      </c>
      <c r="E58" s="2" t="s">
        <v>377</v>
      </c>
      <c r="F58" s="4" t="s">
        <v>26</v>
      </c>
      <c r="G58" s="4" t="s">
        <v>26</v>
      </c>
      <c r="H58" s="7">
        <v>37100</v>
      </c>
      <c r="I58" s="21">
        <f t="shared" ca="1" si="0"/>
        <v>25</v>
      </c>
      <c r="J58" s="8">
        <v>25000000</v>
      </c>
      <c r="K58" s="8">
        <v>20500000</v>
      </c>
      <c r="L58" s="8">
        <v>100000</v>
      </c>
      <c r="M58" s="8">
        <f>(Table2[[#This Row],[Salary/
Week]]*52)</f>
        <v>5200000</v>
      </c>
      <c r="N58" s="9">
        <v>46230</v>
      </c>
      <c r="O58" s="10">
        <v>48029</v>
      </c>
      <c r="P58" s="4">
        <f t="shared" ca="1" si="1"/>
        <v>0</v>
      </c>
      <c r="Q58" s="4">
        <f t="shared" ca="1" si="2"/>
        <v>4</v>
      </c>
      <c r="R58" s="4">
        <f t="shared" ca="1" si="3"/>
        <v>57</v>
      </c>
      <c r="S58" s="4"/>
      <c r="T58" s="4"/>
      <c r="U58" s="4"/>
      <c r="V58" s="4" t="s">
        <v>396</v>
      </c>
      <c r="W58" s="2" t="s">
        <v>465</v>
      </c>
      <c r="X58" s="4"/>
    </row>
    <row r="59" spans="1:24" x14ac:dyDescent="0.25">
      <c r="A59" s="1" t="s">
        <v>91</v>
      </c>
      <c r="B59" s="4"/>
      <c r="C59" s="5" t="s">
        <v>401</v>
      </c>
      <c r="D59" s="12">
        <v>25</v>
      </c>
      <c r="E59" s="2" t="s">
        <v>98</v>
      </c>
      <c r="F59" s="4" t="s">
        <v>26</v>
      </c>
      <c r="G59" s="4" t="s">
        <v>26</v>
      </c>
      <c r="H59" s="7">
        <v>37312</v>
      </c>
      <c r="I59" s="21">
        <f t="shared" ca="1" si="0"/>
        <v>24</v>
      </c>
      <c r="J59" s="8">
        <v>45700000</v>
      </c>
      <c r="K59" s="8">
        <v>35000000</v>
      </c>
      <c r="L59" s="8">
        <v>180000</v>
      </c>
      <c r="M59" s="8">
        <f>(Table2[[#This Row],[Salary/
Week]]*52)</f>
        <v>9360000</v>
      </c>
      <c r="N59" s="9">
        <v>43996</v>
      </c>
      <c r="O59" s="10">
        <v>48760</v>
      </c>
      <c r="P59" s="4">
        <f t="shared" ca="1" si="1"/>
        <v>6</v>
      </c>
      <c r="Q59" s="4">
        <f t="shared" ca="1" si="2"/>
        <v>6</v>
      </c>
      <c r="R59" s="4">
        <f t="shared" ca="1" si="3"/>
        <v>81</v>
      </c>
      <c r="S59" s="4"/>
      <c r="T59" s="4"/>
      <c r="U59" s="4"/>
      <c r="V59" s="4" t="s">
        <v>397</v>
      </c>
      <c r="W59" s="15" t="s">
        <v>497</v>
      </c>
      <c r="X59" s="4"/>
    </row>
    <row r="60" spans="1:24" x14ac:dyDescent="0.25">
      <c r="A60" s="1" t="s">
        <v>91</v>
      </c>
      <c r="B60" s="4"/>
      <c r="C60" s="5" t="s">
        <v>401</v>
      </c>
      <c r="D60" s="12">
        <v>4</v>
      </c>
      <c r="E60" s="2" t="s">
        <v>99</v>
      </c>
      <c r="F60" s="4" t="s">
        <v>26</v>
      </c>
      <c r="G60" s="4" t="s">
        <v>27</v>
      </c>
      <c r="H60" s="7">
        <v>36321</v>
      </c>
      <c r="I60" s="21">
        <f t="shared" ca="1" si="0"/>
        <v>27</v>
      </c>
      <c r="J60" s="8">
        <v>43500000</v>
      </c>
      <c r="K60" s="8">
        <v>43000000</v>
      </c>
      <c r="L60" s="8">
        <v>130000</v>
      </c>
      <c r="M60" s="8">
        <f>(Table2[[#This Row],[Salary/
Week]]*52)</f>
        <v>6760000</v>
      </c>
      <c r="N60" s="9">
        <v>44007</v>
      </c>
      <c r="O60" s="10">
        <v>46934</v>
      </c>
      <c r="P60" s="4">
        <f t="shared" ca="1" si="1"/>
        <v>6</v>
      </c>
      <c r="Q60" s="4">
        <f t="shared" ca="1" si="2"/>
        <v>1</v>
      </c>
      <c r="R60" s="4">
        <f t="shared" ca="1" si="3"/>
        <v>21</v>
      </c>
      <c r="S60" s="4"/>
      <c r="T60" s="4"/>
      <c r="U60" s="4"/>
      <c r="V60" s="4" t="s">
        <v>397</v>
      </c>
      <c r="W60" s="15" t="s">
        <v>464</v>
      </c>
      <c r="X60" s="4"/>
    </row>
    <row r="61" spans="1:24" x14ac:dyDescent="0.25">
      <c r="A61" s="1" t="s">
        <v>91</v>
      </c>
      <c r="B61" s="4"/>
      <c r="C61" s="5" t="s">
        <v>400</v>
      </c>
      <c r="D61" s="12">
        <v>14</v>
      </c>
      <c r="E61" s="2" t="s">
        <v>100</v>
      </c>
      <c r="F61" s="4" t="s">
        <v>27</v>
      </c>
      <c r="G61" s="4" t="s">
        <v>26</v>
      </c>
      <c r="H61" s="7">
        <v>36191</v>
      </c>
      <c r="I61" s="21">
        <f t="shared" ca="1" si="0"/>
        <v>27</v>
      </c>
      <c r="J61" s="8">
        <v>97500000</v>
      </c>
      <c r="K61" s="8">
        <v>40000000</v>
      </c>
      <c r="L61" s="8">
        <v>200000</v>
      </c>
      <c r="M61" s="8">
        <f>(Table2[[#This Row],[Salary/
Week]]*52)</f>
        <v>10400000</v>
      </c>
      <c r="N61" s="9">
        <v>44722</v>
      </c>
      <c r="O61" s="10">
        <v>47299</v>
      </c>
      <c r="P61" s="4">
        <f t="shared" ca="1" si="1"/>
        <v>4</v>
      </c>
      <c r="Q61" s="4">
        <f t="shared" ca="1" si="2"/>
        <v>2</v>
      </c>
      <c r="R61" s="4">
        <f t="shared" ca="1" si="3"/>
        <v>33</v>
      </c>
      <c r="S61" s="4"/>
      <c r="T61" s="4"/>
      <c r="U61" s="4"/>
      <c r="V61" s="4" t="s">
        <v>397</v>
      </c>
      <c r="W61" s="15" t="s">
        <v>470</v>
      </c>
      <c r="X61" s="4"/>
    </row>
    <row r="62" spans="1:24" x14ac:dyDescent="0.25">
      <c r="A62" s="1" t="s">
        <v>91</v>
      </c>
      <c r="B62" s="4"/>
      <c r="C62" s="5" t="s">
        <v>401</v>
      </c>
      <c r="D62" s="12">
        <v>65</v>
      </c>
      <c r="E62" s="2" t="s">
        <v>101</v>
      </c>
      <c r="F62" s="4" t="s">
        <v>27</v>
      </c>
      <c r="G62" s="4" t="s">
        <v>26</v>
      </c>
      <c r="H62" s="7">
        <v>37966</v>
      </c>
      <c r="I62" s="21">
        <f t="shared" ca="1" si="0"/>
        <v>22</v>
      </c>
      <c r="J62" s="8">
        <v>0</v>
      </c>
      <c r="K62" s="8">
        <v>15000000</v>
      </c>
      <c r="L62" s="8">
        <v>120000</v>
      </c>
      <c r="M62" s="8">
        <f>(Table2[[#This Row],[Salary/
Week]]*52)</f>
        <v>6240000</v>
      </c>
      <c r="N62" s="9">
        <v>45160</v>
      </c>
      <c r="O62" s="10">
        <v>47664</v>
      </c>
      <c r="P62" s="4">
        <f t="shared" ca="1" si="1"/>
        <v>3</v>
      </c>
      <c r="Q62" s="4">
        <f t="shared" ca="1" si="2"/>
        <v>3</v>
      </c>
      <c r="R62" s="4">
        <f t="shared" ca="1" si="3"/>
        <v>45</v>
      </c>
      <c r="S62" s="4"/>
      <c r="T62" s="4"/>
      <c r="U62" s="4"/>
      <c r="V62" s="4" t="s">
        <v>397</v>
      </c>
      <c r="W62" s="2" t="s">
        <v>468</v>
      </c>
      <c r="X62" s="4"/>
    </row>
    <row r="63" spans="1:24" x14ac:dyDescent="0.25">
      <c r="A63" s="1" t="s">
        <v>91</v>
      </c>
      <c r="B63" s="4"/>
      <c r="C63" s="5" t="s">
        <v>400</v>
      </c>
      <c r="D63" s="12">
        <v>26</v>
      </c>
      <c r="E63" s="2" t="s">
        <v>102</v>
      </c>
      <c r="F63" s="4" t="s">
        <v>28</v>
      </c>
      <c r="G63" s="4" t="s">
        <v>29</v>
      </c>
      <c r="H63" s="7">
        <v>36613</v>
      </c>
      <c r="I63" s="21">
        <f t="shared" ca="1" si="0"/>
        <v>26</v>
      </c>
      <c r="J63" s="8">
        <v>0</v>
      </c>
      <c r="K63" s="8">
        <v>90000000</v>
      </c>
      <c r="L63" s="8">
        <v>105000</v>
      </c>
      <c r="M63" s="8">
        <f>(Table2[[#This Row],[Salary/
Week]]*52)</f>
        <v>5460000</v>
      </c>
      <c r="N63" s="9">
        <v>43999</v>
      </c>
      <c r="O63" s="10">
        <v>48029</v>
      </c>
      <c r="P63" s="4">
        <f t="shared" ca="1" si="1"/>
        <v>6</v>
      </c>
      <c r="Q63" s="4">
        <f t="shared" ca="1" si="2"/>
        <v>4</v>
      </c>
      <c r="R63" s="4">
        <f t="shared" ca="1" si="3"/>
        <v>57</v>
      </c>
      <c r="S63" s="4"/>
      <c r="T63" s="4"/>
      <c r="U63" s="4"/>
      <c r="V63" s="4" t="s">
        <v>397</v>
      </c>
      <c r="W63" s="16" t="s">
        <v>498</v>
      </c>
      <c r="X63" s="4"/>
    </row>
    <row r="64" spans="1:24" x14ac:dyDescent="0.25">
      <c r="A64" s="1" t="s">
        <v>91</v>
      </c>
      <c r="B64" s="4"/>
      <c r="C64" s="5" t="s">
        <v>401</v>
      </c>
      <c r="D64" s="12">
        <v>16</v>
      </c>
      <c r="E64" s="2" t="s">
        <v>103</v>
      </c>
      <c r="F64" s="4" t="s">
        <v>28</v>
      </c>
      <c r="G64" s="4" t="s">
        <v>29</v>
      </c>
      <c r="H64" s="7">
        <v>37913</v>
      </c>
      <c r="I64" s="21">
        <f t="shared" ca="1" si="0"/>
        <v>22</v>
      </c>
      <c r="J64" s="8">
        <v>15000000</v>
      </c>
      <c r="K64" s="8">
        <v>15000000</v>
      </c>
      <c r="L64" s="8">
        <v>60000</v>
      </c>
      <c r="M64" s="8">
        <f>(Table2[[#This Row],[Salary/
Week]]*52)</f>
        <v>3120000</v>
      </c>
      <c r="N64" s="9">
        <v>45523</v>
      </c>
      <c r="O64" s="10">
        <v>47664</v>
      </c>
      <c r="P64" s="4">
        <f t="shared" ca="1" si="1"/>
        <v>2</v>
      </c>
      <c r="Q64" s="4">
        <f t="shared" ca="1" si="2"/>
        <v>3</v>
      </c>
      <c r="R64" s="4">
        <f t="shared" ca="1" si="3"/>
        <v>45</v>
      </c>
      <c r="S64" s="4"/>
      <c r="T64" s="4"/>
      <c r="U64" s="4"/>
      <c r="V64" s="4" t="s">
        <v>396</v>
      </c>
      <c r="W64" s="15" t="s">
        <v>473</v>
      </c>
      <c r="X64" s="4"/>
    </row>
    <row r="65" spans="1:24" x14ac:dyDescent="0.25">
      <c r="A65" s="1" t="s">
        <v>91</v>
      </c>
      <c r="B65" s="4"/>
      <c r="C65" s="5" t="s">
        <v>402</v>
      </c>
      <c r="D65" s="12">
        <v>28</v>
      </c>
      <c r="E65" s="2" t="s">
        <v>430</v>
      </c>
      <c r="F65" s="4" t="s">
        <v>28</v>
      </c>
      <c r="G65" s="4" t="s">
        <v>29</v>
      </c>
      <c r="H65" s="7">
        <v>38251</v>
      </c>
      <c r="I65" s="21">
        <f ca="1">DATEDIF(H65,TODAY(),"Y")</f>
        <v>21</v>
      </c>
      <c r="J65" s="8">
        <v>0</v>
      </c>
      <c r="K65" s="8">
        <v>1200000</v>
      </c>
      <c r="L65" s="8">
        <v>45000</v>
      </c>
      <c r="M65" s="8">
        <f>(Table2[[#This Row],[Salary/
Week]]*52)</f>
        <v>2340000</v>
      </c>
      <c r="N65" s="9">
        <v>46231</v>
      </c>
      <c r="O65" s="10">
        <v>48760</v>
      </c>
      <c r="P65" s="4">
        <f ca="1">DATEDIF(N65,TODAY(),"Y")</f>
        <v>0</v>
      </c>
      <c r="Q65" s="4">
        <f ca="1">DATEDIF(TODAY(),O65,"y")</f>
        <v>6</v>
      </c>
      <c r="R65" s="4">
        <f ca="1">DATEDIF(TODAY(),O65,"m")</f>
        <v>81</v>
      </c>
      <c r="S65" s="4"/>
      <c r="T65" s="4"/>
      <c r="U65" s="4"/>
      <c r="V65" s="4" t="s">
        <v>397</v>
      </c>
      <c r="W65" s="2" t="s">
        <v>499</v>
      </c>
      <c r="X65" s="4"/>
    </row>
    <row r="66" spans="1:24" x14ac:dyDescent="0.25">
      <c r="A66" s="1" t="s">
        <v>91</v>
      </c>
      <c r="B66" s="4"/>
      <c r="C66" s="5" t="s">
        <v>400</v>
      </c>
      <c r="D66" s="12">
        <v>12</v>
      </c>
      <c r="E66" s="2" t="s">
        <v>104</v>
      </c>
      <c r="F66" s="4" t="s">
        <v>29</v>
      </c>
      <c r="G66" s="4" t="s">
        <v>30</v>
      </c>
      <c r="H66" s="7">
        <v>37571</v>
      </c>
      <c r="I66" s="21">
        <f t="shared" ca="1" si="0"/>
        <v>23</v>
      </c>
      <c r="J66" s="8">
        <v>0</v>
      </c>
      <c r="K66" s="8">
        <v>55000000</v>
      </c>
      <c r="L66" s="8">
        <v>60000</v>
      </c>
      <c r="M66" s="8">
        <f>(Table2[[#This Row],[Salary/
Week]]*52)</f>
        <v>3120000</v>
      </c>
      <c r="N66" s="9">
        <v>45505</v>
      </c>
      <c r="O66" s="10">
        <v>47299</v>
      </c>
      <c r="P66" s="4">
        <f t="shared" ca="1" si="1"/>
        <v>2</v>
      </c>
      <c r="Q66" s="4">
        <f t="shared" ca="1" si="2"/>
        <v>2</v>
      </c>
      <c r="R66" s="4">
        <f t="shared" ca="1" si="3"/>
        <v>33</v>
      </c>
      <c r="S66" s="4"/>
      <c r="T66" s="4"/>
      <c r="U66" s="4"/>
      <c r="V66" s="4" t="s">
        <v>397</v>
      </c>
      <c r="W66" s="15" t="s">
        <v>494</v>
      </c>
      <c r="X66" s="4"/>
    </row>
    <row r="67" spans="1:24" x14ac:dyDescent="0.25">
      <c r="A67" s="1" t="s">
        <v>91</v>
      </c>
      <c r="B67" s="4"/>
      <c r="C67" s="5" t="s">
        <v>401</v>
      </c>
      <c r="D67" s="12">
        <v>6</v>
      </c>
      <c r="E67" s="2" t="s">
        <v>82</v>
      </c>
      <c r="F67" s="4" t="s">
        <v>29</v>
      </c>
      <c r="G67" s="4" t="s">
        <v>29</v>
      </c>
      <c r="H67" s="7">
        <v>35917</v>
      </c>
      <c r="I67" s="21">
        <f ca="1">DATEDIF(H67,TODAY(),"Y")</f>
        <v>28</v>
      </c>
      <c r="J67" s="8">
        <v>0</v>
      </c>
      <c r="K67" s="8">
        <v>15000000</v>
      </c>
      <c r="L67" s="8">
        <v>74000</v>
      </c>
      <c r="M67" s="8">
        <f>(Table2[[#This Row],[Salary/
Week]]*52)</f>
        <v>3848000</v>
      </c>
      <c r="N67" s="9">
        <v>46230</v>
      </c>
      <c r="O67" s="10">
        <v>47299</v>
      </c>
      <c r="P67" s="4">
        <f ca="1">DATEDIF(N67,TODAY(),"Y")</f>
        <v>0</v>
      </c>
      <c r="Q67" s="4">
        <f ca="1">DATEDIF(TODAY(),O67,"y")</f>
        <v>2</v>
      </c>
      <c r="R67" s="4">
        <f ca="1">DATEDIF(TODAY(),O67,"m")</f>
        <v>33</v>
      </c>
      <c r="S67" s="4"/>
      <c r="T67" s="4"/>
      <c r="U67" s="4"/>
      <c r="V67" s="4" t="s">
        <v>397</v>
      </c>
      <c r="W67" s="2"/>
      <c r="X67" s="4"/>
    </row>
    <row r="68" spans="1:24" x14ac:dyDescent="0.25">
      <c r="A68" s="1" t="s">
        <v>91</v>
      </c>
      <c r="B68" s="4"/>
      <c r="C68" s="5" t="s">
        <v>402</v>
      </c>
      <c r="D68" s="12">
        <v>27</v>
      </c>
      <c r="E68" s="2" t="s">
        <v>431</v>
      </c>
      <c r="F68" s="4" t="s">
        <v>29</v>
      </c>
      <c r="G68" s="4" t="s">
        <v>30</v>
      </c>
      <c r="H68" s="7">
        <v>39874</v>
      </c>
      <c r="I68" s="21">
        <f ca="1">DATEDIF(H68,TODAY(),"Y")</f>
        <v>17</v>
      </c>
      <c r="J68" s="8">
        <v>8000000</v>
      </c>
      <c r="K68" s="8">
        <v>17000000</v>
      </c>
      <c r="L68" s="8">
        <v>25000</v>
      </c>
      <c r="M68" s="8">
        <f>(Table2[[#This Row],[Salary/
Week]]*52)</f>
        <v>1300000</v>
      </c>
      <c r="N68" s="9">
        <v>46231</v>
      </c>
      <c r="O68" s="10">
        <v>51317</v>
      </c>
      <c r="P68" s="4">
        <f ca="1">DATEDIF(N68,TODAY(),"Y")</f>
        <v>0</v>
      </c>
      <c r="Q68" s="4">
        <f ca="1">DATEDIF(TODAY(),O68,"y")</f>
        <v>13</v>
      </c>
      <c r="R68" s="4">
        <f ca="1">DATEDIF(TODAY(),O68,"m")</f>
        <v>165</v>
      </c>
      <c r="S68" s="4"/>
      <c r="T68" s="4"/>
      <c r="U68" s="4"/>
      <c r="V68" s="4" t="s">
        <v>396</v>
      </c>
      <c r="W68" s="2"/>
      <c r="X68" s="4"/>
    </row>
    <row r="69" spans="1:24" x14ac:dyDescent="0.25">
      <c r="A69" s="1" t="s">
        <v>91</v>
      </c>
      <c r="B69" s="4"/>
      <c r="C69" s="5" t="s">
        <v>401</v>
      </c>
      <c r="D69" s="12">
        <v>19</v>
      </c>
      <c r="E69" s="2" t="s">
        <v>106</v>
      </c>
      <c r="F69" s="4" t="s">
        <v>30</v>
      </c>
      <c r="G69" s="4" t="s">
        <v>32</v>
      </c>
      <c r="H69" s="7">
        <v>38650</v>
      </c>
      <c r="I69" s="21">
        <f t="shared" ca="1" si="0"/>
        <v>20</v>
      </c>
      <c r="J69" s="8">
        <v>40000000</v>
      </c>
      <c r="K69" s="8">
        <v>25000000</v>
      </c>
      <c r="L69" s="8">
        <v>100000</v>
      </c>
      <c r="M69" s="8">
        <f>(Table2[[#This Row],[Salary/
Week]]*52)</f>
        <v>5200000</v>
      </c>
      <c r="N69" s="9">
        <v>45501</v>
      </c>
      <c r="O69" s="10">
        <v>47299</v>
      </c>
      <c r="P69" s="4">
        <f t="shared" ca="1" si="1"/>
        <v>2</v>
      </c>
      <c r="Q69" s="4">
        <f t="shared" ca="1" si="2"/>
        <v>2</v>
      </c>
      <c r="R69" s="4">
        <f t="shared" ca="1" si="3"/>
        <v>33</v>
      </c>
      <c r="S69" s="4"/>
      <c r="T69" s="4"/>
      <c r="U69" s="4"/>
      <c r="V69" s="4" t="s">
        <v>397</v>
      </c>
      <c r="W69" s="15" t="s">
        <v>484</v>
      </c>
      <c r="X69" s="4"/>
    </row>
    <row r="70" spans="1:24" x14ac:dyDescent="0.25">
      <c r="A70" s="1" t="s">
        <v>91</v>
      </c>
      <c r="B70" s="4" t="s">
        <v>47</v>
      </c>
      <c r="C70" s="5" t="s">
        <v>400</v>
      </c>
      <c r="D70" s="12">
        <v>8</v>
      </c>
      <c r="E70" s="2" t="s">
        <v>107</v>
      </c>
      <c r="F70" s="4" t="s">
        <v>30</v>
      </c>
      <c r="G70" s="4" t="s">
        <v>31</v>
      </c>
      <c r="H70" s="7">
        <v>37784</v>
      </c>
      <c r="I70" s="21">
        <f t="shared" ca="1" si="0"/>
        <v>23</v>
      </c>
      <c r="J70" s="8">
        <v>105000000</v>
      </c>
      <c r="K70" s="8">
        <v>95000000</v>
      </c>
      <c r="L70" s="8">
        <v>200000</v>
      </c>
      <c r="M70" s="8">
        <f>(Table2[[#This Row],[Salary/
Week]]*52)</f>
        <v>10400000</v>
      </c>
      <c r="N70" s="9">
        <v>45423</v>
      </c>
      <c r="O70" s="10">
        <v>48760</v>
      </c>
      <c r="P70" s="4">
        <f t="shared" ca="1" si="1"/>
        <v>2</v>
      </c>
      <c r="Q70" s="4">
        <f t="shared" ca="1" si="2"/>
        <v>6</v>
      </c>
      <c r="R70" s="4">
        <f t="shared" ca="1" si="3"/>
        <v>81</v>
      </c>
      <c r="S70" s="4"/>
      <c r="T70" s="4"/>
      <c r="U70" s="4"/>
      <c r="V70" s="4" t="s">
        <v>397</v>
      </c>
      <c r="W70" s="16" t="s">
        <v>478</v>
      </c>
      <c r="X70" s="4"/>
    </row>
    <row r="71" spans="1:24" x14ac:dyDescent="0.25">
      <c r="A71" s="1" t="s">
        <v>91</v>
      </c>
      <c r="B71" s="4"/>
      <c r="C71" s="5" t="s">
        <v>400</v>
      </c>
      <c r="D71" s="12">
        <v>11</v>
      </c>
      <c r="E71" s="2" t="s">
        <v>108</v>
      </c>
      <c r="F71" s="4" t="s">
        <v>32</v>
      </c>
      <c r="G71" s="4" t="s">
        <v>35</v>
      </c>
      <c r="H71" s="7">
        <v>39678</v>
      </c>
      <c r="I71" s="21">
        <f t="shared" ca="1" si="0"/>
        <v>18</v>
      </c>
      <c r="J71" s="8">
        <v>0</v>
      </c>
      <c r="K71" s="8">
        <v>150000000</v>
      </c>
      <c r="L71" s="8">
        <v>225000</v>
      </c>
      <c r="M71" s="8">
        <f>(Table2[[#This Row],[Salary/
Week]]*52)</f>
        <v>11700000</v>
      </c>
      <c r="N71" s="9">
        <v>45466</v>
      </c>
      <c r="O71" s="10">
        <v>47664</v>
      </c>
      <c r="P71" s="4">
        <f t="shared" ca="1" si="1"/>
        <v>2</v>
      </c>
      <c r="Q71" s="4">
        <f t="shared" ca="1" si="2"/>
        <v>3</v>
      </c>
      <c r="R71" s="4">
        <f t="shared" ca="1" si="3"/>
        <v>45</v>
      </c>
      <c r="S71" s="4"/>
      <c r="T71" s="4"/>
      <c r="U71" s="4"/>
      <c r="V71" s="4" t="s">
        <v>397</v>
      </c>
      <c r="W71" s="15" t="s">
        <v>500</v>
      </c>
      <c r="X71" s="4"/>
    </row>
    <row r="72" spans="1:24" x14ac:dyDescent="0.25">
      <c r="A72" s="1" t="s">
        <v>91</v>
      </c>
      <c r="B72" s="4"/>
      <c r="C72" s="5" t="s">
        <v>401</v>
      </c>
      <c r="D72" s="12">
        <v>20</v>
      </c>
      <c r="E72" s="2" t="s">
        <v>277</v>
      </c>
      <c r="F72" s="4" t="s">
        <v>35</v>
      </c>
      <c r="G72" s="4" t="s">
        <v>30</v>
      </c>
      <c r="H72" s="7">
        <v>37980</v>
      </c>
      <c r="I72" s="21">
        <f t="shared" ca="1" si="0"/>
        <v>22</v>
      </c>
      <c r="J72" s="8">
        <v>150000000</v>
      </c>
      <c r="K72" s="8">
        <v>110000000</v>
      </c>
      <c r="L72" s="8">
        <v>335000</v>
      </c>
      <c r="M72" s="8">
        <f>(Table2[[#This Row],[Salary/
Week]]*52)</f>
        <v>17420000</v>
      </c>
      <c r="N72" s="9">
        <v>46228</v>
      </c>
      <c r="O72" s="10">
        <v>49856</v>
      </c>
      <c r="P72" s="4">
        <f t="shared" ref="P72" ca="1" si="7">DATEDIF(N72,TODAY(),"Y")</f>
        <v>0</v>
      </c>
      <c r="Q72" s="4">
        <f t="shared" ref="Q72" ca="1" si="8">DATEDIF(TODAY(),O72,"y")</f>
        <v>9</v>
      </c>
      <c r="R72" s="4">
        <f t="shared" ref="R72" ca="1" si="9">DATEDIF(TODAY(),O72,"m")</f>
        <v>117</v>
      </c>
      <c r="S72" s="4"/>
      <c r="T72" s="4"/>
      <c r="U72" s="4"/>
      <c r="V72" s="4" t="s">
        <v>396</v>
      </c>
      <c r="W72" s="2" t="s">
        <v>501</v>
      </c>
      <c r="X72" s="4"/>
    </row>
    <row r="73" spans="1:24" x14ac:dyDescent="0.25">
      <c r="A73" s="1" t="s">
        <v>91</v>
      </c>
      <c r="B73" s="4"/>
      <c r="C73" s="5" t="s">
        <v>401</v>
      </c>
      <c r="D73" s="12">
        <v>7</v>
      </c>
      <c r="E73" s="2" t="s">
        <v>110</v>
      </c>
      <c r="F73" s="4" t="s">
        <v>31</v>
      </c>
      <c r="G73" s="4" t="s">
        <v>31</v>
      </c>
      <c r="H73" s="7">
        <v>37345</v>
      </c>
      <c r="I73" s="21">
        <f t="shared" ref="I73:I138" ca="1" si="10">DATEDIF(H73,TODAY(),"Y")</f>
        <v>24</v>
      </c>
      <c r="J73" s="8">
        <v>97000000</v>
      </c>
      <c r="K73" s="8">
        <v>45000000</v>
      </c>
      <c r="L73" s="8">
        <v>250000</v>
      </c>
      <c r="M73" s="8">
        <f>(Table2[[#This Row],[Salary/
Week]]*52)</f>
        <v>13000000</v>
      </c>
      <c r="N73" s="9">
        <v>45129</v>
      </c>
      <c r="O73" s="10">
        <v>47299</v>
      </c>
      <c r="P73" s="4">
        <f t="shared" ref="P73:P138" ca="1" si="11">DATEDIF(N73,TODAY(),"Y")</f>
        <v>3</v>
      </c>
      <c r="Q73" s="4">
        <f t="shared" ref="Q73:Q138" ca="1" si="12">DATEDIF(TODAY(),O73,"y")</f>
        <v>2</v>
      </c>
      <c r="R73" s="4">
        <f t="shared" ref="R73:R138" ca="1" si="13">DATEDIF(TODAY(),O73,"m")</f>
        <v>33</v>
      </c>
      <c r="S73" s="4"/>
      <c r="T73" s="4"/>
      <c r="U73" s="4"/>
      <c r="V73" s="4" t="s">
        <v>397</v>
      </c>
      <c r="W73" s="15" t="s">
        <v>502</v>
      </c>
      <c r="X73" s="4"/>
    </row>
    <row r="74" spans="1:24" x14ac:dyDescent="0.25">
      <c r="A74" s="1" t="s">
        <v>91</v>
      </c>
      <c r="B74" s="4"/>
      <c r="C74" s="5" t="s">
        <v>400</v>
      </c>
      <c r="D74" s="12">
        <v>9</v>
      </c>
      <c r="E74" s="2" t="s">
        <v>111</v>
      </c>
      <c r="F74" s="4" t="s">
        <v>31</v>
      </c>
      <c r="G74" s="4" t="s">
        <v>31</v>
      </c>
      <c r="H74" s="7">
        <v>36355</v>
      </c>
      <c r="I74" s="21">
        <f t="shared" ca="1" si="10"/>
        <v>27</v>
      </c>
      <c r="J74" s="8">
        <v>50000000</v>
      </c>
      <c r="K74" s="8">
        <v>75000000</v>
      </c>
      <c r="L74" s="8">
        <v>445000</v>
      </c>
      <c r="M74" s="8">
        <f>(Table2[[#This Row],[Salary/
Week]]*52)</f>
        <v>23140000</v>
      </c>
      <c r="N74" s="9">
        <v>45496</v>
      </c>
      <c r="O74" s="10">
        <v>47664</v>
      </c>
      <c r="P74" s="4">
        <f t="shared" ca="1" si="11"/>
        <v>2</v>
      </c>
      <c r="Q74" s="4">
        <f t="shared" ca="1" si="12"/>
        <v>3</v>
      </c>
      <c r="R74" s="4">
        <f t="shared" ca="1" si="13"/>
        <v>45</v>
      </c>
      <c r="S74" s="4"/>
      <c r="T74" s="4"/>
      <c r="U74" s="4"/>
      <c r="V74" s="4" t="s">
        <v>397</v>
      </c>
      <c r="W74" s="15" t="s">
        <v>503</v>
      </c>
      <c r="X74" s="4"/>
    </row>
    <row r="75" spans="1:24" x14ac:dyDescent="0.25">
      <c r="A75" s="1" t="s">
        <v>91</v>
      </c>
      <c r="B75" s="4" t="s">
        <v>57</v>
      </c>
      <c r="C75" s="5" t="s">
        <v>400</v>
      </c>
      <c r="D75" s="12">
        <v>10</v>
      </c>
      <c r="E75" s="2" t="s">
        <v>112</v>
      </c>
      <c r="F75" s="4" t="s">
        <v>35</v>
      </c>
      <c r="G75" s="4" t="s">
        <v>30</v>
      </c>
      <c r="H75" s="7">
        <v>33871</v>
      </c>
      <c r="I75" s="21">
        <f t="shared" ca="1" si="10"/>
        <v>33</v>
      </c>
      <c r="J75" s="8">
        <v>0</v>
      </c>
      <c r="K75" s="8">
        <v>120000000</v>
      </c>
      <c r="L75" s="8">
        <v>1000000</v>
      </c>
      <c r="M75" s="8">
        <f>(Table2[[#This Row],[Salary/
Week]]*52)</f>
        <v>52000000</v>
      </c>
      <c r="N75" s="9">
        <v>45095</v>
      </c>
      <c r="O75" s="10">
        <v>48029</v>
      </c>
      <c r="P75" s="4">
        <f t="shared" ca="1" si="11"/>
        <v>3</v>
      </c>
      <c r="Q75" s="4">
        <f t="shared" ca="1" si="12"/>
        <v>4</v>
      </c>
      <c r="R75" s="4">
        <f t="shared" ca="1" si="13"/>
        <v>57</v>
      </c>
      <c r="S75" s="4"/>
      <c r="T75" s="4"/>
      <c r="U75" s="4"/>
      <c r="V75" s="4" t="s">
        <v>396</v>
      </c>
      <c r="W75" s="15" t="s">
        <v>569</v>
      </c>
      <c r="X75" s="4"/>
    </row>
    <row r="76" spans="1:24" x14ac:dyDescent="0.25">
      <c r="A76" s="1" t="s">
        <v>91</v>
      </c>
      <c r="B76" s="4"/>
      <c r="C76" s="5" t="s">
        <v>402</v>
      </c>
      <c r="D76" s="12">
        <v>29</v>
      </c>
      <c r="E76" s="2" t="s">
        <v>113</v>
      </c>
      <c r="F76" s="4" t="s">
        <v>35</v>
      </c>
      <c r="G76" s="4" t="s">
        <v>35</v>
      </c>
      <c r="H76" s="7">
        <v>37832</v>
      </c>
      <c r="I76" s="21">
        <f t="shared" ca="1" si="10"/>
        <v>23</v>
      </c>
      <c r="J76" s="8">
        <v>19000000</v>
      </c>
      <c r="K76" s="8">
        <v>22000000</v>
      </c>
      <c r="L76" s="8">
        <v>39500</v>
      </c>
      <c r="M76" s="8">
        <f>(Table2[[#This Row],[Salary/
Week]]*52)</f>
        <v>2054000</v>
      </c>
      <c r="N76" s="9">
        <v>45882</v>
      </c>
      <c r="O76" s="10">
        <v>47664</v>
      </c>
      <c r="P76" s="4">
        <f t="shared" ca="1" si="11"/>
        <v>1</v>
      </c>
      <c r="Q76" s="4">
        <f t="shared" ca="1" si="12"/>
        <v>3</v>
      </c>
      <c r="R76" s="4">
        <f t="shared" ca="1" si="13"/>
        <v>45</v>
      </c>
      <c r="S76" s="4"/>
      <c r="T76" s="4"/>
      <c r="U76" s="4"/>
      <c r="V76" s="4" t="s">
        <v>396</v>
      </c>
      <c r="W76" s="16" t="s">
        <v>504</v>
      </c>
      <c r="X76" s="4"/>
    </row>
    <row r="77" spans="1:24" x14ac:dyDescent="0.25">
      <c r="A77" s="1" t="s">
        <v>114</v>
      </c>
      <c r="B77" s="4"/>
      <c r="C77" s="5" t="s">
        <v>400</v>
      </c>
      <c r="D77" s="12">
        <v>1</v>
      </c>
      <c r="E77" s="2" t="s">
        <v>115</v>
      </c>
      <c r="F77" s="4" t="s">
        <v>23</v>
      </c>
      <c r="G77" s="4" t="s">
        <v>23</v>
      </c>
      <c r="H77" s="7">
        <v>34609</v>
      </c>
      <c r="I77" s="21">
        <f t="shared" ca="1" si="10"/>
        <v>31</v>
      </c>
      <c r="J77" s="8">
        <v>0</v>
      </c>
      <c r="K77" s="8">
        <v>0</v>
      </c>
      <c r="L77" s="8">
        <v>300000</v>
      </c>
      <c r="M77" s="8">
        <f>(Table2[[#This Row],[Salary/
Week]]*52)</f>
        <v>15600000</v>
      </c>
      <c r="N77" s="9">
        <v>43968</v>
      </c>
      <c r="O77" s="10">
        <v>46568</v>
      </c>
      <c r="P77" s="4">
        <f t="shared" ca="1" si="11"/>
        <v>6</v>
      </c>
      <c r="Q77" s="4">
        <f t="shared" ca="1" si="12"/>
        <v>0</v>
      </c>
      <c r="R77" s="4">
        <f t="shared" ca="1" si="13"/>
        <v>9</v>
      </c>
      <c r="S77" s="4"/>
      <c r="T77" s="4"/>
      <c r="U77" s="4"/>
      <c r="V77" s="4" t="s">
        <v>396</v>
      </c>
      <c r="W77" s="2"/>
      <c r="X77" s="4"/>
    </row>
    <row r="78" spans="1:24" x14ac:dyDescent="0.25">
      <c r="A78" s="1" t="s">
        <v>114</v>
      </c>
      <c r="B78" s="4"/>
      <c r="C78" s="5" t="s">
        <v>401</v>
      </c>
      <c r="D78" s="12">
        <v>99</v>
      </c>
      <c r="E78" s="2" t="s">
        <v>117</v>
      </c>
      <c r="F78" s="4" t="s">
        <v>23</v>
      </c>
      <c r="G78" s="4" t="s">
        <v>23</v>
      </c>
      <c r="H78" s="7">
        <v>37334</v>
      </c>
      <c r="I78" s="21">
        <f t="shared" ca="1" si="10"/>
        <v>24</v>
      </c>
      <c r="J78" s="8">
        <v>0</v>
      </c>
      <c r="K78" s="8">
        <v>0</v>
      </c>
      <c r="L78" s="8">
        <v>15000</v>
      </c>
      <c r="M78" s="8">
        <f>(Table2[[#This Row],[Salary/
Week]]*52)</f>
        <v>780000</v>
      </c>
      <c r="N78" s="9">
        <v>44774</v>
      </c>
      <c r="O78" s="10">
        <v>46934</v>
      </c>
      <c r="P78" s="4">
        <f t="shared" ca="1" si="11"/>
        <v>4</v>
      </c>
      <c r="Q78" s="4">
        <f t="shared" ca="1" si="12"/>
        <v>1</v>
      </c>
      <c r="R78" s="4">
        <f t="shared" ca="1" si="13"/>
        <v>21</v>
      </c>
      <c r="S78" s="4"/>
      <c r="T78" s="4"/>
      <c r="U78" s="4"/>
      <c r="V78" s="4" t="s">
        <v>397</v>
      </c>
      <c r="W78" s="2"/>
      <c r="X78" s="4"/>
    </row>
    <row r="79" spans="1:24" x14ac:dyDescent="0.25">
      <c r="A79" s="1" t="s">
        <v>114</v>
      </c>
      <c r="B79" s="4" t="s">
        <v>47</v>
      </c>
      <c r="C79" s="5" t="s">
        <v>400</v>
      </c>
      <c r="D79" s="12">
        <v>24</v>
      </c>
      <c r="E79" s="2" t="s">
        <v>118</v>
      </c>
      <c r="F79" s="4" t="s">
        <v>25</v>
      </c>
      <c r="G79" s="4" t="s">
        <v>26</v>
      </c>
      <c r="H79" s="7">
        <v>35479</v>
      </c>
      <c r="I79" s="21">
        <f t="shared" ca="1" si="10"/>
        <v>29</v>
      </c>
      <c r="J79" s="8">
        <v>0</v>
      </c>
      <c r="K79" s="8">
        <v>14500000</v>
      </c>
      <c r="L79" s="8">
        <v>70000</v>
      </c>
      <c r="M79" s="8">
        <f>(Table2[[#This Row],[Salary/
Week]]*52)</f>
        <v>3640000</v>
      </c>
      <c r="N79" s="9">
        <v>45484</v>
      </c>
      <c r="O79" s="10">
        <v>47299</v>
      </c>
      <c r="P79" s="4">
        <f t="shared" ca="1" si="11"/>
        <v>2</v>
      </c>
      <c r="Q79" s="4">
        <f t="shared" ca="1" si="12"/>
        <v>2</v>
      </c>
      <c r="R79" s="4">
        <f t="shared" ca="1" si="13"/>
        <v>33</v>
      </c>
      <c r="S79" s="4"/>
      <c r="T79" s="4"/>
      <c r="U79" s="4"/>
      <c r="V79" s="4" t="s">
        <v>396</v>
      </c>
      <c r="W79" s="16" t="s">
        <v>518</v>
      </c>
      <c r="X79" s="4"/>
    </row>
    <row r="80" spans="1:24" x14ac:dyDescent="0.25">
      <c r="A80" s="1" t="s">
        <v>114</v>
      </c>
      <c r="B80" s="4"/>
      <c r="C80" s="5" t="s">
        <v>401</v>
      </c>
      <c r="D80" s="12">
        <v>4</v>
      </c>
      <c r="E80" s="2" t="s">
        <v>119</v>
      </c>
      <c r="F80" s="4" t="s">
        <v>25</v>
      </c>
      <c r="G80" s="4" t="s">
        <v>26</v>
      </c>
      <c r="H80" s="7">
        <v>38491</v>
      </c>
      <c r="I80" s="21">
        <f t="shared" ca="1" si="10"/>
        <v>21</v>
      </c>
      <c r="J80" s="8">
        <v>25000000</v>
      </c>
      <c r="K80" s="8">
        <v>18000000</v>
      </c>
      <c r="L80" s="8">
        <v>50000</v>
      </c>
      <c r="M80" s="8">
        <f>(Table2[[#This Row],[Salary/
Week]]*52)</f>
        <v>2600000</v>
      </c>
      <c r="N80" s="9">
        <v>45882</v>
      </c>
      <c r="O80" s="10">
        <v>48760</v>
      </c>
      <c r="P80" s="4">
        <f t="shared" ca="1" si="11"/>
        <v>1</v>
      </c>
      <c r="Q80" s="4">
        <f t="shared" ca="1" si="12"/>
        <v>6</v>
      </c>
      <c r="R80" s="4">
        <f t="shared" ca="1" si="13"/>
        <v>81</v>
      </c>
      <c r="S80" s="4"/>
      <c r="T80" s="4"/>
      <c r="U80" s="4"/>
      <c r="V80" s="4" t="s">
        <v>396</v>
      </c>
      <c r="W80" s="2"/>
      <c r="X80" s="4"/>
    </row>
    <row r="81" spans="1:24" x14ac:dyDescent="0.25">
      <c r="A81" s="1" t="s">
        <v>114</v>
      </c>
      <c r="B81" s="4" t="s">
        <v>47</v>
      </c>
      <c r="C81" s="5" t="s">
        <v>401</v>
      </c>
      <c r="D81" s="12">
        <v>51</v>
      </c>
      <c r="E81" s="2" t="s">
        <v>120</v>
      </c>
      <c r="F81" s="4" t="s">
        <v>26</v>
      </c>
      <c r="G81" s="4" t="s">
        <v>26</v>
      </c>
      <c r="H81" s="7">
        <v>37174</v>
      </c>
      <c r="I81" s="21">
        <f t="shared" ca="1" si="10"/>
        <v>24</v>
      </c>
      <c r="J81" s="8">
        <v>45000000</v>
      </c>
      <c r="K81" s="8">
        <v>25000000</v>
      </c>
      <c r="L81" s="8">
        <v>85000</v>
      </c>
      <c r="M81" s="8">
        <f>(Table2[[#This Row],[Salary/
Week]]*52)</f>
        <v>4420000</v>
      </c>
      <c r="N81" s="9">
        <v>44717</v>
      </c>
      <c r="O81" s="10">
        <v>46568</v>
      </c>
      <c r="P81" s="4">
        <f t="shared" ca="1" si="11"/>
        <v>4</v>
      </c>
      <c r="Q81" s="4">
        <f t="shared" ca="1" si="12"/>
        <v>0</v>
      </c>
      <c r="R81" s="4">
        <f t="shared" ca="1" si="13"/>
        <v>9</v>
      </c>
      <c r="S81" s="4"/>
      <c r="T81" s="4"/>
      <c r="U81" s="4"/>
      <c r="V81" s="4" t="s">
        <v>396</v>
      </c>
      <c r="W81" s="16" t="s">
        <v>519</v>
      </c>
      <c r="X81" s="4"/>
    </row>
    <row r="82" spans="1:24" x14ac:dyDescent="0.25">
      <c r="A82" s="1" t="s">
        <v>114</v>
      </c>
      <c r="B82" s="4"/>
      <c r="C82" s="5" t="s">
        <v>400</v>
      </c>
      <c r="D82" s="12">
        <v>5</v>
      </c>
      <c r="E82" s="2" t="s">
        <v>122</v>
      </c>
      <c r="F82" s="4" t="s">
        <v>26</v>
      </c>
      <c r="G82" s="4" t="s">
        <v>27</v>
      </c>
      <c r="H82" s="7">
        <v>36850</v>
      </c>
      <c r="I82" s="21">
        <f t="shared" ca="1" si="10"/>
        <v>25</v>
      </c>
      <c r="J82" s="8">
        <v>0</v>
      </c>
      <c r="K82" s="8">
        <v>25000000</v>
      </c>
      <c r="L82" s="8">
        <v>150000</v>
      </c>
      <c r="M82" s="8">
        <f>(Table2[[#This Row],[Salary/
Week]]*52)</f>
        <v>7800000</v>
      </c>
      <c r="N82" s="9">
        <v>44737</v>
      </c>
      <c r="O82" s="10">
        <v>46568</v>
      </c>
      <c r="P82" s="4">
        <f t="shared" ca="1" si="11"/>
        <v>4</v>
      </c>
      <c r="Q82" s="4">
        <f t="shared" ca="1" si="12"/>
        <v>0</v>
      </c>
      <c r="R82" s="4">
        <f t="shared" ca="1" si="13"/>
        <v>9</v>
      </c>
      <c r="S82" s="4"/>
      <c r="T82" s="4"/>
      <c r="U82" s="4"/>
      <c r="V82" s="4" t="s">
        <v>397</v>
      </c>
      <c r="W82" s="15" t="s">
        <v>464</v>
      </c>
      <c r="X82" s="4"/>
    </row>
    <row r="83" spans="1:24" x14ac:dyDescent="0.25">
      <c r="A83" s="1" t="s">
        <v>114</v>
      </c>
      <c r="B83" s="4"/>
      <c r="C83" s="5" t="s">
        <v>400</v>
      </c>
      <c r="D83" s="12">
        <v>28</v>
      </c>
      <c r="E83" s="2" t="s">
        <v>123</v>
      </c>
      <c r="F83" s="4" t="s">
        <v>26</v>
      </c>
      <c r="G83" s="4" t="s">
        <v>26</v>
      </c>
      <c r="H83" s="7">
        <v>38962</v>
      </c>
      <c r="I83" s="21">
        <f t="shared" ca="1" si="10"/>
        <v>20</v>
      </c>
      <c r="J83" s="8">
        <v>0</v>
      </c>
      <c r="K83" s="8">
        <v>55500000</v>
      </c>
      <c r="L83" s="8">
        <v>65000</v>
      </c>
      <c r="M83" s="8">
        <f>(Table2[[#This Row],[Salary/
Week]]*52)</f>
        <v>3380000</v>
      </c>
      <c r="N83" s="9">
        <v>45874</v>
      </c>
      <c r="O83" s="10">
        <v>46934</v>
      </c>
      <c r="P83" s="4">
        <f t="shared" ca="1" si="11"/>
        <v>1</v>
      </c>
      <c r="Q83" s="4">
        <f t="shared" ca="1" si="12"/>
        <v>1</v>
      </c>
      <c r="R83" s="4">
        <f t="shared" ca="1" si="13"/>
        <v>21</v>
      </c>
      <c r="S83" s="4"/>
      <c r="T83" s="4"/>
      <c r="U83" s="4"/>
      <c r="V83" s="4" t="s">
        <v>397</v>
      </c>
      <c r="W83" s="2" t="s">
        <v>520</v>
      </c>
      <c r="X83" s="4"/>
    </row>
    <row r="84" spans="1:24" x14ac:dyDescent="0.25">
      <c r="A84" s="1" t="s">
        <v>114</v>
      </c>
      <c r="B84" s="4"/>
      <c r="C84" s="5" t="s">
        <v>401</v>
      </c>
      <c r="D84" s="12">
        <v>29</v>
      </c>
      <c r="E84" s="2" t="s">
        <v>456</v>
      </c>
      <c r="F84" s="4" t="s">
        <v>26</v>
      </c>
      <c r="G84" s="4" t="s">
        <v>26</v>
      </c>
      <c r="H84" s="7">
        <v>37054</v>
      </c>
      <c r="I84" s="21">
        <f ca="1">DATEDIF(H84,TODAY(),"Y")</f>
        <v>25</v>
      </c>
      <c r="J84" s="8">
        <v>0</v>
      </c>
      <c r="K84" s="8">
        <v>10000000</v>
      </c>
      <c r="L84" s="8">
        <v>45000</v>
      </c>
      <c r="M84" s="8">
        <f>(Table2[[#This Row],[Salary/
Week]]*52)</f>
        <v>2340000</v>
      </c>
      <c r="N84" s="9">
        <v>46225</v>
      </c>
      <c r="O84" s="10">
        <v>48395</v>
      </c>
      <c r="P84" s="4">
        <f ca="1">DATEDIF(N84,TODAY(),"Y")</f>
        <v>0</v>
      </c>
      <c r="Q84" s="4">
        <f ca="1">DATEDIF(TODAY(),O84,"y")</f>
        <v>5</v>
      </c>
      <c r="R84" s="4">
        <f ca="1">DATEDIF(TODAY(),O84,"m")</f>
        <v>69</v>
      </c>
      <c r="S84" s="4"/>
      <c r="T84" s="4"/>
      <c r="U84" s="4"/>
      <c r="V84" s="4" t="s">
        <v>396</v>
      </c>
      <c r="W84" s="15" t="s">
        <v>464</v>
      </c>
      <c r="X84" s="4"/>
    </row>
    <row r="85" spans="1:24" x14ac:dyDescent="0.25">
      <c r="A85" s="1" t="s">
        <v>114</v>
      </c>
      <c r="B85" s="4"/>
      <c r="C85" s="5" t="s">
        <v>401</v>
      </c>
      <c r="D85" s="12">
        <v>2</v>
      </c>
      <c r="E85" s="2" t="s">
        <v>457</v>
      </c>
      <c r="F85" s="4" t="s">
        <v>26</v>
      </c>
      <c r="G85" s="4" t="s">
        <v>26</v>
      </c>
      <c r="H85" s="7">
        <v>37469</v>
      </c>
      <c r="I85" s="21">
        <f ca="1">DATEDIF(H85,TODAY(),"Y")</f>
        <v>24</v>
      </c>
      <c r="J85" s="8">
        <v>0</v>
      </c>
      <c r="K85" s="8">
        <v>12000000</v>
      </c>
      <c r="L85" s="8">
        <v>38000</v>
      </c>
      <c r="M85" s="8">
        <f>(Table2[[#This Row],[Salary/
Week]]*52)</f>
        <v>1976000</v>
      </c>
      <c r="N85" s="9">
        <v>46230</v>
      </c>
      <c r="O85" s="10">
        <v>48029</v>
      </c>
      <c r="P85" s="4">
        <f ca="1">DATEDIF(N85,TODAY(),"Y")</f>
        <v>0</v>
      </c>
      <c r="Q85" s="4">
        <f ca="1">DATEDIF(TODAY(),O85,"y")</f>
        <v>4</v>
      </c>
      <c r="R85" s="4">
        <f ca="1">DATEDIF(TODAY(),O85,"m")</f>
        <v>57</v>
      </c>
      <c r="S85" s="4"/>
      <c r="T85" s="4"/>
      <c r="U85" s="4"/>
      <c r="V85" s="4" t="s">
        <v>397</v>
      </c>
      <c r="W85" s="2" t="s">
        <v>465</v>
      </c>
      <c r="X85" s="4"/>
    </row>
    <row r="86" spans="1:24" x14ac:dyDescent="0.25">
      <c r="A86" s="1" t="s">
        <v>114</v>
      </c>
      <c r="B86" s="4"/>
      <c r="C86" s="5" t="s">
        <v>400</v>
      </c>
      <c r="D86" s="12">
        <v>3</v>
      </c>
      <c r="E86" s="2" t="s">
        <v>124</v>
      </c>
      <c r="F86" s="4" t="s">
        <v>27</v>
      </c>
      <c r="G86" s="4" t="s">
        <v>26</v>
      </c>
      <c r="H86" s="7">
        <v>38752</v>
      </c>
      <c r="I86" s="21">
        <f t="shared" ca="1" si="10"/>
        <v>20</v>
      </c>
      <c r="J86" s="8">
        <v>0</v>
      </c>
      <c r="K86" s="8">
        <v>40000000</v>
      </c>
      <c r="L86" s="8">
        <v>200000</v>
      </c>
      <c r="M86" s="8">
        <f>(Table2[[#This Row],[Salary/
Week]]*52)</f>
        <v>10400000</v>
      </c>
      <c r="N86" s="9">
        <v>45863</v>
      </c>
      <c r="O86" s="10">
        <v>49490</v>
      </c>
      <c r="P86" s="4">
        <f t="shared" ca="1" si="11"/>
        <v>1</v>
      </c>
      <c r="Q86" s="4">
        <f t="shared" ca="1" si="12"/>
        <v>8</v>
      </c>
      <c r="R86" s="4">
        <f t="shared" ca="1" si="13"/>
        <v>105</v>
      </c>
      <c r="S86" s="4"/>
      <c r="T86" s="4"/>
      <c r="U86" s="4"/>
      <c r="V86" s="4" t="s">
        <v>397</v>
      </c>
      <c r="W86" s="15" t="s">
        <v>521</v>
      </c>
      <c r="X86" s="4"/>
    </row>
    <row r="87" spans="1:24" x14ac:dyDescent="0.25">
      <c r="A87" s="1" t="s">
        <v>114</v>
      </c>
      <c r="B87" s="4"/>
      <c r="C87" s="5" t="s">
        <v>401</v>
      </c>
      <c r="D87" s="12">
        <v>29</v>
      </c>
      <c r="E87" s="2" t="s">
        <v>426</v>
      </c>
      <c r="F87" s="4" t="s">
        <v>27</v>
      </c>
      <c r="G87" s="4" t="s">
        <v>27</v>
      </c>
      <c r="H87" s="7">
        <v>36684</v>
      </c>
      <c r="I87" s="21">
        <f ca="1">DATEDIF(H87,TODAY(),"Y")</f>
        <v>26</v>
      </c>
      <c r="J87" s="8">
        <v>7000000</v>
      </c>
      <c r="K87" s="8">
        <v>8000000</v>
      </c>
      <c r="L87" s="8">
        <v>70000</v>
      </c>
      <c r="M87" s="8">
        <f>(Table2[[#This Row],[Salary/
Week]]*52)</f>
        <v>3640000</v>
      </c>
      <c r="N87" s="9">
        <v>46230</v>
      </c>
      <c r="O87" s="10">
        <v>49096</v>
      </c>
      <c r="P87" s="4">
        <f ca="1">DATEDIF(N87,TODAY(),"Y")</f>
        <v>0</v>
      </c>
      <c r="Q87" s="4">
        <f ca="1">DATEDIF(TODAY(),O87,"y")</f>
        <v>7</v>
      </c>
      <c r="R87" s="4">
        <f ca="1">DATEDIF(TODAY(),O87,"m")</f>
        <v>92</v>
      </c>
      <c r="S87" s="4"/>
      <c r="T87" s="4"/>
      <c r="U87" s="4"/>
      <c r="V87" s="4" t="s">
        <v>397</v>
      </c>
      <c r="W87" s="2" t="s">
        <v>522</v>
      </c>
      <c r="X87" s="4"/>
    </row>
    <row r="88" spans="1:24" x14ac:dyDescent="0.25">
      <c r="A88" s="1" t="s">
        <v>114</v>
      </c>
      <c r="B88" s="4"/>
      <c r="C88" s="5" t="s">
        <v>400</v>
      </c>
      <c r="D88" s="12">
        <v>6</v>
      </c>
      <c r="E88" s="2" t="s">
        <v>127</v>
      </c>
      <c r="F88" s="4" t="s">
        <v>28</v>
      </c>
      <c r="G88" s="4" t="s">
        <v>29</v>
      </c>
      <c r="H88" s="7">
        <v>36373</v>
      </c>
      <c r="I88" s="21">
        <f t="shared" ca="1" si="10"/>
        <v>27</v>
      </c>
      <c r="J88" s="8">
        <v>8500000</v>
      </c>
      <c r="K88" s="8">
        <v>50000000</v>
      </c>
      <c r="L88" s="8">
        <v>250000</v>
      </c>
      <c r="M88" s="8">
        <f>(Table2[[#This Row],[Salary/
Week]]*52)</f>
        <v>13000000</v>
      </c>
      <c r="N88" s="9">
        <v>44026</v>
      </c>
      <c r="O88" s="10">
        <v>46934</v>
      </c>
      <c r="P88" s="4">
        <f t="shared" ca="1" si="11"/>
        <v>6</v>
      </c>
      <c r="Q88" s="4">
        <f t="shared" ca="1" si="12"/>
        <v>1</v>
      </c>
      <c r="R88" s="4">
        <f t="shared" ca="1" si="13"/>
        <v>21</v>
      </c>
      <c r="S88" s="4"/>
      <c r="T88" s="4"/>
      <c r="U88" s="4"/>
      <c r="V88" s="4" t="s">
        <v>396</v>
      </c>
      <c r="W88" s="16" t="s">
        <v>523</v>
      </c>
      <c r="X88" s="4"/>
    </row>
    <row r="89" spans="1:24" x14ac:dyDescent="0.25">
      <c r="A89" s="1" t="s">
        <v>114</v>
      </c>
      <c r="B89" s="4"/>
      <c r="C89" s="5" t="s">
        <v>401</v>
      </c>
      <c r="D89" s="12">
        <v>56</v>
      </c>
      <c r="E89" s="2" t="s">
        <v>128</v>
      </c>
      <c r="F89" s="4" t="s">
        <v>28</v>
      </c>
      <c r="G89" s="4" t="s">
        <v>29</v>
      </c>
      <c r="H89" s="7">
        <v>37684</v>
      </c>
      <c r="I89" s="21">
        <f t="shared" ca="1" si="10"/>
        <v>23</v>
      </c>
      <c r="J89" s="8">
        <v>6000000</v>
      </c>
      <c r="K89" s="8">
        <v>30000000</v>
      </c>
      <c r="L89" s="8">
        <v>200000</v>
      </c>
      <c r="M89" s="8">
        <f>(Table2[[#This Row],[Salary/
Week]]*52)</f>
        <v>10400000</v>
      </c>
      <c r="N89" s="9">
        <v>45090</v>
      </c>
      <c r="O89" s="10">
        <v>47664</v>
      </c>
      <c r="P89" s="4">
        <f t="shared" ca="1" si="11"/>
        <v>3</v>
      </c>
      <c r="Q89" s="4">
        <f t="shared" ca="1" si="12"/>
        <v>3</v>
      </c>
      <c r="R89" s="4">
        <f t="shared" ca="1" si="13"/>
        <v>45</v>
      </c>
      <c r="S89" s="4"/>
      <c r="T89" s="4"/>
      <c r="U89" s="4"/>
      <c r="V89" s="4" t="s">
        <v>396</v>
      </c>
      <c r="W89" s="2"/>
      <c r="X89" s="4"/>
    </row>
    <row r="90" spans="1:24" x14ac:dyDescent="0.25">
      <c r="A90" s="1" t="s">
        <v>114</v>
      </c>
      <c r="B90" s="4"/>
      <c r="C90" s="5" t="s">
        <v>401</v>
      </c>
      <c r="D90" s="12">
        <v>13</v>
      </c>
      <c r="E90" s="2" t="s">
        <v>458</v>
      </c>
      <c r="F90" s="4" t="s">
        <v>28</v>
      </c>
      <c r="G90" s="4" t="s">
        <v>28</v>
      </c>
      <c r="H90" s="7">
        <v>38196</v>
      </c>
      <c r="I90" s="21">
        <f ca="1">DATEDIF(H90,TODAY(),"Y")</f>
        <v>22</v>
      </c>
      <c r="J90" s="8">
        <v>8000000</v>
      </c>
      <c r="K90" s="8">
        <v>16000000</v>
      </c>
      <c r="L90" s="8">
        <v>70000</v>
      </c>
      <c r="M90" s="8">
        <f>(Table2[[#This Row],[Salary/
Week]]*52)</f>
        <v>3640000</v>
      </c>
      <c r="N90" s="9">
        <v>46216</v>
      </c>
      <c r="O90" s="10">
        <v>48395</v>
      </c>
      <c r="P90" s="4">
        <f ca="1">DATEDIF(N90,TODAY(),"Y")</f>
        <v>0</v>
      </c>
      <c r="Q90" s="4">
        <f ca="1">DATEDIF(TODAY(),O90,"y")</f>
        <v>5</v>
      </c>
      <c r="R90" s="4">
        <f ca="1">DATEDIF(TODAY(),O90,"m")</f>
        <v>69</v>
      </c>
      <c r="S90" s="4"/>
      <c r="T90" s="4"/>
      <c r="U90" s="4"/>
      <c r="V90" s="4" t="s">
        <v>396</v>
      </c>
      <c r="W90" s="2"/>
      <c r="X90" s="4"/>
    </row>
    <row r="91" spans="1:24" x14ac:dyDescent="0.25">
      <c r="A91" s="1" t="s">
        <v>114</v>
      </c>
      <c r="B91" s="4"/>
      <c r="C91" s="5" t="s">
        <v>400</v>
      </c>
      <c r="D91" s="12">
        <v>37</v>
      </c>
      <c r="E91" s="2" t="s">
        <v>364</v>
      </c>
      <c r="F91" s="4" t="s">
        <v>29</v>
      </c>
      <c r="G91" s="4" t="s">
        <v>29</v>
      </c>
      <c r="H91" s="7">
        <v>36776</v>
      </c>
      <c r="I91" s="21">
        <f t="shared" ca="1" si="10"/>
        <v>26</v>
      </c>
      <c r="J91" s="8">
        <v>0</v>
      </c>
      <c r="K91" s="8">
        <v>55000000</v>
      </c>
      <c r="L91" s="8">
        <v>250000</v>
      </c>
      <c r="M91" s="8">
        <f>(Table2[[#This Row],[Salary/
Week]]*52)</f>
        <v>13000000</v>
      </c>
      <c r="N91" s="9">
        <v>46225</v>
      </c>
      <c r="O91" s="10">
        <v>48029</v>
      </c>
      <c r="P91" s="4">
        <f t="shared" ca="1" si="11"/>
        <v>0</v>
      </c>
      <c r="Q91" s="4">
        <f t="shared" ca="1" si="12"/>
        <v>4</v>
      </c>
      <c r="R91" s="4">
        <f t="shared" ca="1" si="13"/>
        <v>57</v>
      </c>
      <c r="S91" s="4"/>
      <c r="T91" s="4"/>
      <c r="U91" s="4"/>
      <c r="V91" s="4" t="s">
        <v>398</v>
      </c>
      <c r="W91" s="2" t="s">
        <v>524</v>
      </c>
      <c r="X91" s="4"/>
    </row>
    <row r="92" spans="1:24" x14ac:dyDescent="0.25">
      <c r="A92" s="1" t="s">
        <v>114</v>
      </c>
      <c r="B92" s="4"/>
      <c r="C92" s="5" t="s">
        <v>401</v>
      </c>
      <c r="D92" s="12">
        <v>14</v>
      </c>
      <c r="E92" s="2" t="s">
        <v>459</v>
      </c>
      <c r="F92" s="4" t="s">
        <v>29</v>
      </c>
      <c r="G92" s="4" t="s">
        <v>29</v>
      </c>
      <c r="H92" s="7">
        <v>37784</v>
      </c>
      <c r="I92" s="21">
        <f ca="1">DATEDIF(H92,TODAY(),"Y")</f>
        <v>23</v>
      </c>
      <c r="J92" s="8">
        <v>0</v>
      </c>
      <c r="K92" s="8">
        <v>12000000</v>
      </c>
      <c r="L92" s="8">
        <v>80000</v>
      </c>
      <c r="M92" s="8">
        <f>(Table2[[#This Row],[Salary/
Week]]*52)</f>
        <v>4160000</v>
      </c>
      <c r="N92" s="9">
        <v>46231</v>
      </c>
      <c r="O92" s="10">
        <v>48760</v>
      </c>
      <c r="P92" s="4">
        <f ca="1">DATEDIF(N92,TODAY(),"Y")</f>
        <v>0</v>
      </c>
      <c r="Q92" s="4">
        <f ca="1">DATEDIF(TODAY(),O92,"y")</f>
        <v>6</v>
      </c>
      <c r="R92" s="4">
        <f ca="1">DATEDIF(TODAY(),O92,"m")</f>
        <v>81</v>
      </c>
      <c r="S92" s="4"/>
      <c r="T92" s="4"/>
      <c r="U92" s="4"/>
      <c r="V92" s="4" t="s">
        <v>397</v>
      </c>
      <c r="W92" s="2"/>
      <c r="X92" s="4"/>
    </row>
    <row r="93" spans="1:24" x14ac:dyDescent="0.25">
      <c r="A93" s="1" t="s">
        <v>114</v>
      </c>
      <c r="B93" s="4"/>
      <c r="C93" s="5" t="s">
        <v>401</v>
      </c>
      <c r="D93" s="12">
        <v>27</v>
      </c>
      <c r="E93" s="2" t="s">
        <v>443</v>
      </c>
      <c r="F93" s="4" t="s">
        <v>29</v>
      </c>
      <c r="G93" s="4" t="s">
        <v>29</v>
      </c>
      <c r="H93" s="7">
        <v>38907</v>
      </c>
      <c r="I93" s="21">
        <f t="shared" ca="1" si="10"/>
        <v>20</v>
      </c>
      <c r="J93" s="8">
        <v>30000000</v>
      </c>
      <c r="K93" s="8">
        <v>28500000</v>
      </c>
      <c r="L93" s="8">
        <v>100000</v>
      </c>
      <c r="M93" s="8">
        <f>(Table2[[#This Row],[Salary/
Week]]*52)</f>
        <v>5200000</v>
      </c>
      <c r="N93" s="9">
        <v>46231</v>
      </c>
      <c r="O93" s="10">
        <v>48029</v>
      </c>
      <c r="P93" s="4">
        <f t="shared" ca="1" si="11"/>
        <v>0</v>
      </c>
      <c r="Q93" s="4">
        <f t="shared" ca="1" si="12"/>
        <v>4</v>
      </c>
      <c r="R93" s="4">
        <f t="shared" ca="1" si="13"/>
        <v>57</v>
      </c>
      <c r="S93" s="4"/>
      <c r="T93" s="4"/>
      <c r="U93" s="4"/>
      <c r="V93" s="4" t="s">
        <v>397</v>
      </c>
      <c r="W93" s="2" t="s">
        <v>498</v>
      </c>
      <c r="X93" s="4"/>
    </row>
    <row r="94" spans="1:24" x14ac:dyDescent="0.25">
      <c r="A94" s="1" t="s">
        <v>114</v>
      </c>
      <c r="B94" s="4" t="s">
        <v>57</v>
      </c>
      <c r="C94" s="5" t="s">
        <v>400</v>
      </c>
      <c r="D94" s="12">
        <v>8</v>
      </c>
      <c r="E94" s="2" t="s">
        <v>131</v>
      </c>
      <c r="F94" s="4" t="s">
        <v>30</v>
      </c>
      <c r="G94" s="4" t="s">
        <v>31</v>
      </c>
      <c r="H94" s="7">
        <v>36147</v>
      </c>
      <c r="I94" s="21">
        <f t="shared" ca="1" si="10"/>
        <v>27</v>
      </c>
      <c r="J94" s="8">
        <v>180535000</v>
      </c>
      <c r="K94" s="8">
        <v>160000000</v>
      </c>
      <c r="L94" s="8">
        <v>1500000</v>
      </c>
      <c r="M94" s="8">
        <f>(Table2[[#This Row],[Salary/
Week]]*52)</f>
        <v>78000000</v>
      </c>
      <c r="N94" s="9">
        <v>44956</v>
      </c>
      <c r="O94" s="10">
        <v>49125</v>
      </c>
      <c r="P94" s="4">
        <f t="shared" ca="1" si="11"/>
        <v>3</v>
      </c>
      <c r="Q94" s="4">
        <f t="shared" ca="1" si="12"/>
        <v>7</v>
      </c>
      <c r="R94" s="4">
        <f t="shared" ca="1" si="13"/>
        <v>93</v>
      </c>
      <c r="S94" s="4"/>
      <c r="T94" s="4"/>
      <c r="U94" s="4"/>
      <c r="V94" s="4" t="s">
        <v>398</v>
      </c>
      <c r="W94" s="16" t="s">
        <v>525</v>
      </c>
      <c r="X94" s="4"/>
    </row>
    <row r="95" spans="1:24" x14ac:dyDescent="0.25">
      <c r="A95" s="1" t="s">
        <v>114</v>
      </c>
      <c r="B95" s="4"/>
      <c r="C95" s="5" t="s">
        <v>401</v>
      </c>
      <c r="D95" s="12">
        <v>17</v>
      </c>
      <c r="E95" s="2" t="s">
        <v>132</v>
      </c>
      <c r="F95" s="4" t="s">
        <v>30</v>
      </c>
      <c r="G95" s="4" t="s">
        <v>30</v>
      </c>
      <c r="H95" s="7">
        <v>38122</v>
      </c>
      <c r="I95" s="21">
        <f t="shared" ca="1" si="10"/>
        <v>22</v>
      </c>
      <c r="J95" s="8">
        <v>30000000</v>
      </c>
      <c r="K95" s="8">
        <v>30000000</v>
      </c>
      <c r="L95" s="8">
        <v>200000</v>
      </c>
      <c r="M95" s="8">
        <f>(Table2[[#This Row],[Salary/
Week]]*52)</f>
        <v>10400000</v>
      </c>
      <c r="N95" s="9">
        <v>45078</v>
      </c>
      <c r="O95" s="10">
        <v>47664</v>
      </c>
      <c r="P95" s="4">
        <f t="shared" ca="1" si="11"/>
        <v>3</v>
      </c>
      <c r="Q95" s="4">
        <f t="shared" ca="1" si="12"/>
        <v>3</v>
      </c>
      <c r="R95" s="4">
        <f t="shared" ca="1" si="13"/>
        <v>45</v>
      </c>
      <c r="S95" s="4"/>
      <c r="T95" s="4"/>
      <c r="U95" s="4"/>
      <c r="V95" s="4" t="s">
        <v>397</v>
      </c>
      <c r="W95" s="2"/>
      <c r="X95" s="4"/>
    </row>
    <row r="96" spans="1:24" x14ac:dyDescent="0.25">
      <c r="A96" s="1" t="s">
        <v>114</v>
      </c>
      <c r="B96" s="4"/>
      <c r="C96" s="5" t="s">
        <v>400</v>
      </c>
      <c r="D96" s="12">
        <v>10</v>
      </c>
      <c r="E96" s="2" t="s">
        <v>133</v>
      </c>
      <c r="F96" s="4" t="s">
        <v>32</v>
      </c>
      <c r="G96" s="4" t="s">
        <v>33</v>
      </c>
      <c r="H96" s="7">
        <v>35773</v>
      </c>
      <c r="I96" s="21">
        <f t="shared" ca="1" si="10"/>
        <v>28</v>
      </c>
      <c r="J96" s="8">
        <v>0</v>
      </c>
      <c r="K96" s="8">
        <v>30000000</v>
      </c>
      <c r="L96" s="8">
        <v>180000</v>
      </c>
      <c r="M96" s="8">
        <f>(Table2[[#This Row],[Salary/
Week]]*52)</f>
        <v>9360000</v>
      </c>
      <c r="N96" s="9">
        <v>45863</v>
      </c>
      <c r="O96" s="10">
        <v>46568</v>
      </c>
      <c r="P96" s="4">
        <f t="shared" ca="1" si="11"/>
        <v>1</v>
      </c>
      <c r="Q96" s="4">
        <f t="shared" ca="1" si="12"/>
        <v>0</v>
      </c>
      <c r="R96" s="4">
        <f t="shared" ca="1" si="13"/>
        <v>9</v>
      </c>
      <c r="S96" s="4"/>
      <c r="T96" s="4"/>
      <c r="U96" s="4"/>
      <c r="V96" s="4" t="s">
        <v>396</v>
      </c>
      <c r="W96" s="2" t="s">
        <v>526</v>
      </c>
      <c r="X96" s="4"/>
    </row>
    <row r="97" spans="1:24" x14ac:dyDescent="0.25">
      <c r="A97" s="1" t="s">
        <v>114</v>
      </c>
      <c r="B97" s="4"/>
      <c r="C97" s="5" t="s">
        <v>401</v>
      </c>
      <c r="D97" s="12">
        <v>7</v>
      </c>
      <c r="E97" s="2" t="s">
        <v>134</v>
      </c>
      <c r="F97" s="4" t="s">
        <v>32</v>
      </c>
      <c r="G97" s="4" t="s">
        <v>33</v>
      </c>
      <c r="H97" s="7">
        <v>35732</v>
      </c>
      <c r="I97" s="21">
        <f t="shared" ca="1" si="10"/>
        <v>28</v>
      </c>
      <c r="J97" s="8">
        <v>35000000</v>
      </c>
      <c r="K97" s="8">
        <v>40000000</v>
      </c>
      <c r="L97" s="8">
        <v>200000</v>
      </c>
      <c r="M97" s="8">
        <f>(Table2[[#This Row],[Salary/
Week]]*52)</f>
        <v>10400000</v>
      </c>
      <c r="N97" s="9">
        <v>45131</v>
      </c>
      <c r="O97" s="10">
        <v>48760</v>
      </c>
      <c r="P97" s="4">
        <f t="shared" ca="1" si="11"/>
        <v>3</v>
      </c>
      <c r="Q97" s="4">
        <f t="shared" ca="1" si="12"/>
        <v>6</v>
      </c>
      <c r="R97" s="4">
        <f t="shared" ca="1" si="13"/>
        <v>81</v>
      </c>
      <c r="S97" s="4"/>
      <c r="T97" s="4"/>
      <c r="U97" s="4"/>
      <c r="V97" s="4" t="s">
        <v>397</v>
      </c>
      <c r="W97" s="15" t="s">
        <v>526</v>
      </c>
      <c r="X97" s="4"/>
    </row>
    <row r="98" spans="1:24" x14ac:dyDescent="0.25">
      <c r="A98" s="1" t="s">
        <v>114</v>
      </c>
      <c r="B98" s="4"/>
      <c r="C98" s="5" t="s">
        <v>401</v>
      </c>
      <c r="D98" s="12">
        <v>81</v>
      </c>
      <c r="E98" s="2" t="s">
        <v>135</v>
      </c>
      <c r="F98" s="4" t="s">
        <v>31</v>
      </c>
      <c r="G98" s="4" t="s">
        <v>31</v>
      </c>
      <c r="H98" s="7">
        <v>37032</v>
      </c>
      <c r="I98" s="21">
        <f t="shared" ca="1" si="10"/>
        <v>25</v>
      </c>
      <c r="J98" s="8">
        <v>25000000</v>
      </c>
      <c r="K98" s="8">
        <v>25000000</v>
      </c>
      <c r="L98" s="8">
        <v>180000</v>
      </c>
      <c r="M98" s="8">
        <f>(Table2[[#This Row],[Salary/
Week]]*52)</f>
        <v>9360000</v>
      </c>
      <c r="N98" s="9">
        <v>44029</v>
      </c>
      <c r="O98" s="10">
        <v>47664</v>
      </c>
      <c r="P98" s="4">
        <f t="shared" ca="1" si="11"/>
        <v>6</v>
      </c>
      <c r="Q98" s="4">
        <f t="shared" ca="1" si="12"/>
        <v>3</v>
      </c>
      <c r="R98" s="4">
        <f t="shared" ca="1" si="13"/>
        <v>45</v>
      </c>
      <c r="S98" s="4"/>
      <c r="T98" s="4"/>
      <c r="U98" s="4"/>
      <c r="V98" s="4" t="s">
        <v>397</v>
      </c>
      <c r="W98" s="2"/>
      <c r="X98" s="4"/>
    </row>
    <row r="99" spans="1:24" x14ac:dyDescent="0.25">
      <c r="A99" s="1" t="s">
        <v>114</v>
      </c>
      <c r="B99" s="4"/>
      <c r="C99" s="5" t="s">
        <v>400</v>
      </c>
      <c r="D99" s="12">
        <v>9</v>
      </c>
      <c r="E99" s="2" t="s">
        <v>136</v>
      </c>
      <c r="F99" s="4" t="s">
        <v>31</v>
      </c>
      <c r="G99" s="4" t="s">
        <v>30</v>
      </c>
      <c r="H99" s="7">
        <v>36985</v>
      </c>
      <c r="I99" s="21">
        <f t="shared" ca="1" si="10"/>
        <v>25</v>
      </c>
      <c r="J99" s="8">
        <v>55000000</v>
      </c>
      <c r="K99" s="8">
        <v>80000000</v>
      </c>
      <c r="L99" s="8">
        <v>125000</v>
      </c>
      <c r="M99" s="8">
        <f>(Table2[[#This Row],[Salary/
Week]]*52)</f>
        <v>6500000</v>
      </c>
      <c r="N99" s="9">
        <v>45861</v>
      </c>
      <c r="O99" s="10">
        <v>47664</v>
      </c>
      <c r="P99" s="4">
        <f t="shared" ca="1" si="11"/>
        <v>1</v>
      </c>
      <c r="Q99" s="4">
        <f t="shared" ca="1" si="12"/>
        <v>3</v>
      </c>
      <c r="R99" s="4">
        <f t="shared" ca="1" si="13"/>
        <v>45</v>
      </c>
      <c r="S99" s="4"/>
      <c r="T99" s="4"/>
      <c r="U99" s="4"/>
      <c r="V99" s="4" t="s">
        <v>397</v>
      </c>
      <c r="W99" s="15" t="s">
        <v>527</v>
      </c>
      <c r="X99" s="4"/>
    </row>
    <row r="100" spans="1:24" x14ac:dyDescent="0.25">
      <c r="A100" s="1" t="s">
        <v>114</v>
      </c>
      <c r="B100" s="4"/>
      <c r="C100" s="5" t="s">
        <v>400</v>
      </c>
      <c r="D100" s="12">
        <v>11</v>
      </c>
      <c r="E100" s="2" t="s">
        <v>137</v>
      </c>
      <c r="F100" s="4" t="s">
        <v>35</v>
      </c>
      <c r="G100" s="4" t="s">
        <v>31</v>
      </c>
      <c r="H100" s="7">
        <v>37578</v>
      </c>
      <c r="I100" s="21">
        <f t="shared" ca="1" si="10"/>
        <v>23</v>
      </c>
      <c r="J100" s="8">
        <v>55000000</v>
      </c>
      <c r="K100" s="8">
        <v>50000000</v>
      </c>
      <c r="L100" s="8">
        <v>400000</v>
      </c>
      <c r="M100" s="8">
        <f>(Table2[[#This Row],[Salary/
Week]]*52)</f>
        <v>20800000</v>
      </c>
      <c r="N100" s="9">
        <v>44948</v>
      </c>
      <c r="O100" s="10">
        <v>48760</v>
      </c>
      <c r="P100" s="4">
        <f t="shared" ca="1" si="11"/>
        <v>3</v>
      </c>
      <c r="Q100" s="4">
        <f t="shared" ca="1" si="12"/>
        <v>6</v>
      </c>
      <c r="R100" s="4">
        <f t="shared" ca="1" si="13"/>
        <v>81</v>
      </c>
      <c r="S100" s="4"/>
      <c r="T100" s="4"/>
      <c r="U100" s="4"/>
      <c r="V100" s="4" t="s">
        <v>396</v>
      </c>
      <c r="W100" s="15" t="s">
        <v>503</v>
      </c>
      <c r="X100" s="4"/>
    </row>
    <row r="101" spans="1:24" x14ac:dyDescent="0.25">
      <c r="A101" s="1" t="s">
        <v>114</v>
      </c>
      <c r="B101" s="4"/>
      <c r="C101" s="5" t="s">
        <v>401</v>
      </c>
      <c r="D101" s="12">
        <v>26</v>
      </c>
      <c r="E101" s="2" t="s">
        <v>138</v>
      </c>
      <c r="F101" s="4" t="s">
        <v>35</v>
      </c>
      <c r="G101" s="4" t="s">
        <v>36</v>
      </c>
      <c r="H101" s="7">
        <v>37258</v>
      </c>
      <c r="I101" s="21">
        <f t="shared" ca="1" si="10"/>
        <v>24</v>
      </c>
      <c r="J101" s="8">
        <v>7500000</v>
      </c>
      <c r="K101" s="8">
        <v>14500000</v>
      </c>
      <c r="L101" s="8">
        <v>100000</v>
      </c>
      <c r="M101" s="8">
        <f>(Table2[[#This Row],[Salary/
Week]]*52)</f>
        <v>5200000</v>
      </c>
      <c r="N101" s="9">
        <v>44936</v>
      </c>
      <c r="O101" s="10">
        <v>46934</v>
      </c>
      <c r="P101" s="4">
        <f t="shared" ca="1" si="11"/>
        <v>3</v>
      </c>
      <c r="Q101" s="4">
        <f t="shared" ca="1" si="12"/>
        <v>1</v>
      </c>
      <c r="R101" s="4">
        <f t="shared" ca="1" si="13"/>
        <v>21</v>
      </c>
      <c r="S101" s="4"/>
      <c r="T101" s="4"/>
      <c r="U101" s="4"/>
      <c r="V101" s="4" t="s">
        <v>396</v>
      </c>
      <c r="W101" s="2"/>
      <c r="X101" s="4"/>
    </row>
    <row r="102" spans="1:24" x14ac:dyDescent="0.25">
      <c r="A102" s="1" t="s">
        <v>139</v>
      </c>
      <c r="B102" s="4"/>
      <c r="C102" s="5" t="s">
        <v>400</v>
      </c>
      <c r="D102" s="12">
        <v>1</v>
      </c>
      <c r="E102" s="2" t="s">
        <v>140</v>
      </c>
      <c r="F102" s="4" t="s">
        <v>23</v>
      </c>
      <c r="G102" s="4" t="s">
        <v>23</v>
      </c>
      <c r="H102" s="7">
        <v>36260</v>
      </c>
      <c r="I102" s="21">
        <f t="shared" ca="1" si="10"/>
        <v>27</v>
      </c>
      <c r="J102" s="8">
        <v>25000000</v>
      </c>
      <c r="K102" s="8">
        <v>25000000</v>
      </c>
      <c r="L102" s="8">
        <v>200000</v>
      </c>
      <c r="M102" s="8">
        <f>(Table2[[#This Row],[Salary/
Week]]*52)</f>
        <v>10400000</v>
      </c>
      <c r="N102" s="9">
        <v>45092</v>
      </c>
      <c r="O102" s="10">
        <v>46934</v>
      </c>
      <c r="P102" s="4">
        <f t="shared" ca="1" si="11"/>
        <v>3</v>
      </c>
      <c r="Q102" s="4">
        <f t="shared" ca="1" si="12"/>
        <v>1</v>
      </c>
      <c r="R102" s="4">
        <f t="shared" ca="1" si="13"/>
        <v>21</v>
      </c>
      <c r="S102" s="4"/>
      <c r="T102" s="4"/>
      <c r="U102" s="4"/>
      <c r="V102" s="4" t="s">
        <v>396</v>
      </c>
      <c r="W102" s="2"/>
      <c r="X102" s="4"/>
    </row>
    <row r="103" spans="1:24" x14ac:dyDescent="0.25">
      <c r="A103" s="1" t="s">
        <v>139</v>
      </c>
      <c r="B103" s="4"/>
      <c r="C103" s="5" t="s">
        <v>401</v>
      </c>
      <c r="D103" s="12">
        <v>99</v>
      </c>
      <c r="E103" s="2" t="s">
        <v>141</v>
      </c>
      <c r="F103" s="4" t="s">
        <v>23</v>
      </c>
      <c r="G103" s="4" t="s">
        <v>23</v>
      </c>
      <c r="H103" s="7">
        <v>37959</v>
      </c>
      <c r="I103" s="21">
        <f t="shared" ca="1" si="10"/>
        <v>22</v>
      </c>
      <c r="J103" s="8">
        <v>10000000</v>
      </c>
      <c r="K103" s="8">
        <v>10000000</v>
      </c>
      <c r="L103" s="8">
        <v>100000</v>
      </c>
      <c r="M103" s="8">
        <f>(Table2[[#This Row],[Salary/
Week]]*52)</f>
        <v>5200000</v>
      </c>
      <c r="N103" s="9">
        <v>45112</v>
      </c>
      <c r="O103" s="10">
        <v>48760</v>
      </c>
      <c r="P103" s="4">
        <f t="shared" ca="1" si="11"/>
        <v>3</v>
      </c>
      <c r="Q103" s="4">
        <f t="shared" ca="1" si="12"/>
        <v>6</v>
      </c>
      <c r="R103" s="4">
        <f t="shared" ca="1" si="13"/>
        <v>81</v>
      </c>
      <c r="S103" s="4"/>
      <c r="T103" s="4"/>
      <c r="U103" s="4"/>
      <c r="V103" s="4" t="s">
        <v>397</v>
      </c>
      <c r="W103" s="2"/>
      <c r="X103" s="4"/>
    </row>
    <row r="104" spans="1:24" x14ac:dyDescent="0.25">
      <c r="A104" s="1" t="s">
        <v>139</v>
      </c>
      <c r="B104" s="4" t="s">
        <v>57</v>
      </c>
      <c r="C104" s="5" t="s">
        <v>400</v>
      </c>
      <c r="D104" s="12">
        <v>2</v>
      </c>
      <c r="E104" s="2" t="s">
        <v>142</v>
      </c>
      <c r="F104" s="4" t="s">
        <v>25</v>
      </c>
      <c r="G104" s="4" t="s">
        <v>37</v>
      </c>
      <c r="H104" s="7">
        <v>36789</v>
      </c>
      <c r="I104" s="21">
        <f t="shared" ca="1" si="10"/>
        <v>25</v>
      </c>
      <c r="J104" s="8">
        <v>110000000</v>
      </c>
      <c r="K104" s="8">
        <v>80000000</v>
      </c>
      <c r="L104" s="8">
        <v>300000</v>
      </c>
      <c r="M104" s="8">
        <f>(Table2[[#This Row],[Salary/
Week]]*52)</f>
        <v>15600000</v>
      </c>
      <c r="N104" s="9">
        <v>45127</v>
      </c>
      <c r="O104" s="10">
        <v>48760</v>
      </c>
      <c r="P104" s="4">
        <f t="shared" ca="1" si="11"/>
        <v>3</v>
      </c>
      <c r="Q104" s="4">
        <f t="shared" ca="1" si="12"/>
        <v>6</v>
      </c>
      <c r="R104" s="4">
        <f t="shared" ca="1" si="13"/>
        <v>81</v>
      </c>
      <c r="S104" s="4"/>
      <c r="T104" s="4"/>
      <c r="U104" s="4"/>
      <c r="V104" s="4" t="s">
        <v>396</v>
      </c>
      <c r="W104" s="2" t="s">
        <v>528</v>
      </c>
      <c r="X104" s="4"/>
    </row>
    <row r="105" spans="1:24" x14ac:dyDescent="0.25">
      <c r="A105" s="1" t="s">
        <v>139</v>
      </c>
      <c r="B105" s="4"/>
      <c r="C105" s="5" t="s">
        <v>401</v>
      </c>
      <c r="D105" s="12">
        <v>70</v>
      </c>
      <c r="E105" s="2" t="s">
        <v>143</v>
      </c>
      <c r="F105" s="4" t="s">
        <v>25</v>
      </c>
      <c r="G105" s="4" t="s">
        <v>37</v>
      </c>
      <c r="H105" s="7">
        <v>36990</v>
      </c>
      <c r="I105" s="21">
        <f t="shared" ca="1" si="10"/>
        <v>25</v>
      </c>
      <c r="J105" s="8">
        <v>0</v>
      </c>
      <c r="K105" s="8">
        <v>30000000</v>
      </c>
      <c r="L105" s="8">
        <v>100000</v>
      </c>
      <c r="M105" s="8">
        <f>(Table2[[#This Row],[Salary/
Week]]*52)</f>
        <v>5200000</v>
      </c>
      <c r="N105" s="9">
        <v>44722</v>
      </c>
      <c r="O105" s="10">
        <v>46568</v>
      </c>
      <c r="P105" s="4">
        <f t="shared" ca="1" si="11"/>
        <v>4</v>
      </c>
      <c r="Q105" s="4">
        <f t="shared" ca="1" si="12"/>
        <v>0</v>
      </c>
      <c r="R105" s="4">
        <f t="shared" ca="1" si="13"/>
        <v>9</v>
      </c>
      <c r="S105" s="4"/>
      <c r="T105" s="4"/>
      <c r="U105" s="4"/>
      <c r="V105" s="4" t="s">
        <v>396</v>
      </c>
      <c r="W105" s="2"/>
      <c r="X105" s="4"/>
    </row>
    <row r="106" spans="1:24" x14ac:dyDescent="0.25">
      <c r="A106" s="1" t="s">
        <v>139</v>
      </c>
      <c r="B106" s="4"/>
      <c r="C106" s="5" t="s">
        <v>401</v>
      </c>
      <c r="D106" s="12">
        <v>5</v>
      </c>
      <c r="E106" s="2" t="s">
        <v>144</v>
      </c>
      <c r="F106" s="4" t="s">
        <v>26</v>
      </c>
      <c r="G106" s="4" t="s">
        <v>26</v>
      </c>
      <c r="H106" s="7">
        <v>35953</v>
      </c>
      <c r="I106" s="21">
        <f t="shared" ca="1" si="10"/>
        <v>28</v>
      </c>
      <c r="J106" s="8">
        <v>1000000</v>
      </c>
      <c r="K106" s="8">
        <v>0</v>
      </c>
      <c r="L106" s="8">
        <v>100000</v>
      </c>
      <c r="M106" s="8">
        <f>(Table2[[#This Row],[Salary/
Week]]*52)</f>
        <v>5200000</v>
      </c>
      <c r="N106" s="9">
        <v>45526</v>
      </c>
      <c r="O106" s="10">
        <v>46934</v>
      </c>
      <c r="P106" s="4">
        <f t="shared" ca="1" si="11"/>
        <v>2</v>
      </c>
      <c r="Q106" s="4">
        <f t="shared" ca="1" si="12"/>
        <v>1</v>
      </c>
      <c r="R106" s="4">
        <f t="shared" ca="1" si="13"/>
        <v>21</v>
      </c>
      <c r="S106" s="4"/>
      <c r="T106" s="4"/>
      <c r="U106" s="4"/>
      <c r="V106" s="4" t="s">
        <v>396</v>
      </c>
      <c r="W106" s="15" t="s">
        <v>529</v>
      </c>
      <c r="X106" s="4"/>
    </row>
    <row r="107" spans="1:24" x14ac:dyDescent="0.25">
      <c r="A107" s="1" t="s">
        <v>139</v>
      </c>
      <c r="B107" s="4"/>
      <c r="C107" s="5" t="s">
        <v>400</v>
      </c>
      <c r="D107" s="12">
        <v>3</v>
      </c>
      <c r="E107" s="2" t="s">
        <v>461</v>
      </c>
      <c r="F107" s="4" t="s">
        <v>26</v>
      </c>
      <c r="G107" s="4" t="s">
        <v>26</v>
      </c>
      <c r="H107" s="7">
        <v>36205</v>
      </c>
      <c r="I107" s="21">
        <f t="shared" ca="1" si="10"/>
        <v>27</v>
      </c>
      <c r="J107" s="8">
        <v>10000000</v>
      </c>
      <c r="K107" s="8">
        <v>15000000</v>
      </c>
      <c r="L107" s="8">
        <v>145000</v>
      </c>
      <c r="M107" s="8">
        <f>(Table2[[#This Row],[Salary/
Week]]*52)</f>
        <v>7540000</v>
      </c>
      <c r="N107" s="9">
        <v>46229</v>
      </c>
      <c r="O107" s="10">
        <v>47664</v>
      </c>
      <c r="P107" s="4">
        <f t="shared" ca="1" si="11"/>
        <v>0</v>
      </c>
      <c r="Q107" s="4">
        <f t="shared" ca="1" si="12"/>
        <v>3</v>
      </c>
      <c r="R107" s="4">
        <f t="shared" ca="1" si="13"/>
        <v>45</v>
      </c>
      <c r="S107" s="4"/>
      <c r="T107" s="4"/>
      <c r="U107" s="4"/>
      <c r="V107" s="4" t="s">
        <v>397</v>
      </c>
      <c r="W107" s="16" t="s">
        <v>465</v>
      </c>
      <c r="X107" s="4"/>
    </row>
    <row r="108" spans="1:24" x14ac:dyDescent="0.25">
      <c r="A108" s="1" t="s">
        <v>139</v>
      </c>
      <c r="B108" s="4"/>
      <c r="C108" s="5" t="s">
        <v>401</v>
      </c>
      <c r="D108" s="12">
        <v>33</v>
      </c>
      <c r="E108" s="2" t="s">
        <v>146</v>
      </c>
      <c r="F108" s="4" t="s">
        <v>26</v>
      </c>
      <c r="G108" s="4" t="s">
        <v>26</v>
      </c>
      <c r="H108" s="7">
        <v>36922</v>
      </c>
      <c r="I108" s="21">
        <f t="shared" ca="1" si="10"/>
        <v>25</v>
      </c>
      <c r="J108" s="8">
        <v>0</v>
      </c>
      <c r="K108" s="8">
        <v>0</v>
      </c>
      <c r="L108" s="8">
        <v>35000</v>
      </c>
      <c r="M108" s="8">
        <f>(Table2[[#This Row],[Salary/
Week]]*52)</f>
        <v>1820000</v>
      </c>
      <c r="N108" s="9">
        <v>45506</v>
      </c>
      <c r="O108" s="10">
        <v>47664</v>
      </c>
      <c r="P108" s="4">
        <f t="shared" ca="1" si="11"/>
        <v>2</v>
      </c>
      <c r="Q108" s="4">
        <f t="shared" ca="1" si="12"/>
        <v>3</v>
      </c>
      <c r="R108" s="4">
        <f t="shared" ca="1" si="13"/>
        <v>45</v>
      </c>
      <c r="S108" s="4"/>
      <c r="T108" s="4"/>
      <c r="U108" s="4"/>
      <c r="V108" s="4" t="s">
        <v>397</v>
      </c>
      <c r="W108" s="2" t="s">
        <v>464</v>
      </c>
      <c r="X108" s="4"/>
    </row>
    <row r="109" spans="1:24" x14ac:dyDescent="0.25">
      <c r="A109" s="1" t="s">
        <v>139</v>
      </c>
      <c r="B109" s="4"/>
      <c r="C109" s="5" t="s">
        <v>401</v>
      </c>
      <c r="D109" s="12">
        <v>50</v>
      </c>
      <c r="E109" s="2" t="s">
        <v>147</v>
      </c>
      <c r="F109" s="4" t="s">
        <v>26</v>
      </c>
      <c r="G109" s="4" t="s">
        <v>26</v>
      </c>
      <c r="H109" s="7">
        <v>38958</v>
      </c>
      <c r="I109" s="21">
        <f t="shared" ca="1" si="10"/>
        <v>20</v>
      </c>
      <c r="J109" s="8">
        <v>20000000</v>
      </c>
      <c r="K109" s="8">
        <v>15000000</v>
      </c>
      <c r="L109" s="8">
        <v>25000</v>
      </c>
      <c r="M109" s="8">
        <f>(Table2[[#This Row],[Salary/
Week]]*52)</f>
        <v>1300000</v>
      </c>
      <c r="N109" s="9">
        <v>45882</v>
      </c>
      <c r="O109" s="10">
        <v>49490</v>
      </c>
      <c r="P109" s="4">
        <f t="shared" ca="1" si="11"/>
        <v>1</v>
      </c>
      <c r="Q109" s="4">
        <f t="shared" ca="1" si="12"/>
        <v>8</v>
      </c>
      <c r="R109" s="4">
        <f t="shared" ca="1" si="13"/>
        <v>105</v>
      </c>
      <c r="S109" s="4"/>
      <c r="T109" s="4"/>
      <c r="U109" s="4"/>
      <c r="V109" s="4" t="s">
        <v>397</v>
      </c>
      <c r="W109" s="2" t="s">
        <v>464</v>
      </c>
      <c r="X109" s="4"/>
    </row>
    <row r="110" spans="1:24" x14ac:dyDescent="0.25">
      <c r="A110" s="1" t="s">
        <v>139</v>
      </c>
      <c r="B110" s="4"/>
      <c r="C110" s="5" t="s">
        <v>400</v>
      </c>
      <c r="D110" s="12">
        <v>4</v>
      </c>
      <c r="E110" s="2" t="s">
        <v>148</v>
      </c>
      <c r="F110" s="4" t="s">
        <v>26</v>
      </c>
      <c r="G110" s="4" t="s">
        <v>27</v>
      </c>
      <c r="H110" s="7">
        <v>36971</v>
      </c>
      <c r="I110" s="21">
        <f t="shared" ca="1" si="10"/>
        <v>25</v>
      </c>
      <c r="J110" s="8">
        <v>0</v>
      </c>
      <c r="K110" s="8">
        <v>20000000</v>
      </c>
      <c r="L110" s="8">
        <v>10000</v>
      </c>
      <c r="M110" s="8">
        <f>(Table2[[#This Row],[Salary/
Week]]*52)</f>
        <v>520000</v>
      </c>
      <c r="N110" s="9">
        <v>45155</v>
      </c>
      <c r="O110" s="10">
        <v>46934</v>
      </c>
      <c r="P110" s="4">
        <f t="shared" ca="1" si="11"/>
        <v>3</v>
      </c>
      <c r="Q110" s="4">
        <f t="shared" ca="1" si="12"/>
        <v>1</v>
      </c>
      <c r="R110" s="4">
        <f t="shared" ca="1" si="13"/>
        <v>21</v>
      </c>
      <c r="S110" s="4"/>
      <c r="T110" s="4"/>
      <c r="U110" s="4"/>
      <c r="V110" s="4" t="s">
        <v>397</v>
      </c>
      <c r="W110" s="16" t="s">
        <v>465</v>
      </c>
      <c r="X110" s="4"/>
    </row>
    <row r="111" spans="1:24" x14ac:dyDescent="0.25">
      <c r="A111" s="1" t="s">
        <v>139</v>
      </c>
      <c r="B111" s="4"/>
      <c r="C111" s="5" t="s">
        <v>400</v>
      </c>
      <c r="D111" s="12">
        <v>20</v>
      </c>
      <c r="E111" s="2" t="s">
        <v>149</v>
      </c>
      <c r="F111" s="4" t="s">
        <v>27</v>
      </c>
      <c r="G111" s="4" t="s">
        <v>38</v>
      </c>
      <c r="H111" s="7">
        <v>37390</v>
      </c>
      <c r="I111" s="21">
        <f t="shared" ca="1" si="10"/>
        <v>24</v>
      </c>
      <c r="J111" s="8">
        <v>0</v>
      </c>
      <c r="K111" s="8">
        <v>8000000</v>
      </c>
      <c r="L111" s="8">
        <v>50000</v>
      </c>
      <c r="M111" s="8">
        <f>(Table2[[#This Row],[Salary/
Week]]*52)</f>
        <v>2600000</v>
      </c>
      <c r="N111" s="9">
        <v>45120</v>
      </c>
      <c r="O111" s="10">
        <v>46934</v>
      </c>
      <c r="P111" s="4">
        <f t="shared" ca="1" si="11"/>
        <v>3</v>
      </c>
      <c r="Q111" s="4">
        <f t="shared" ca="1" si="12"/>
        <v>1</v>
      </c>
      <c r="R111" s="4">
        <f t="shared" ca="1" si="13"/>
        <v>21</v>
      </c>
      <c r="S111" s="4"/>
      <c r="T111" s="4"/>
      <c r="U111" s="4"/>
      <c r="V111" s="4" t="s">
        <v>397</v>
      </c>
      <c r="W111" s="15" t="s">
        <v>530</v>
      </c>
      <c r="X111" s="4"/>
    </row>
    <row r="112" spans="1:24" x14ac:dyDescent="0.25">
      <c r="A112" s="1" t="s">
        <v>139</v>
      </c>
      <c r="B112" s="4"/>
      <c r="C112" s="5" t="s">
        <v>401</v>
      </c>
      <c r="D112" s="12">
        <v>22</v>
      </c>
      <c r="E112" s="2" t="s">
        <v>150</v>
      </c>
      <c r="F112" s="4" t="s">
        <v>27</v>
      </c>
      <c r="G112" s="4" t="s">
        <v>38</v>
      </c>
      <c r="H112" s="7">
        <v>38186</v>
      </c>
      <c r="I112" s="21">
        <f t="shared" ca="1" si="10"/>
        <v>22</v>
      </c>
      <c r="J112" s="8">
        <v>0</v>
      </c>
      <c r="K112" s="8">
        <v>30000000</v>
      </c>
      <c r="L112" s="8">
        <v>10000</v>
      </c>
      <c r="M112" s="8">
        <f>(Table2[[#This Row],[Salary/
Week]]*52)</f>
        <v>520000</v>
      </c>
      <c r="N112" s="9">
        <v>45139</v>
      </c>
      <c r="O112" s="10">
        <v>48760</v>
      </c>
      <c r="P112" s="4">
        <f t="shared" ca="1" si="11"/>
        <v>3</v>
      </c>
      <c r="Q112" s="4">
        <f t="shared" ca="1" si="12"/>
        <v>6</v>
      </c>
      <c r="R112" s="4">
        <f t="shared" ca="1" si="13"/>
        <v>81</v>
      </c>
      <c r="S112" s="4"/>
      <c r="T112" s="4"/>
      <c r="U112" s="4"/>
      <c r="V112" s="4" t="s">
        <v>397</v>
      </c>
      <c r="W112" s="2" t="s">
        <v>468</v>
      </c>
      <c r="X112" s="4"/>
    </row>
    <row r="113" spans="1:24" x14ac:dyDescent="0.25">
      <c r="A113" s="1" t="s">
        <v>139</v>
      </c>
      <c r="B113" s="4"/>
      <c r="C113" s="5" t="s">
        <v>400</v>
      </c>
      <c r="D113" s="12">
        <v>13</v>
      </c>
      <c r="E113" s="2" t="s">
        <v>445</v>
      </c>
      <c r="F113" s="4" t="s">
        <v>28</v>
      </c>
      <c r="G113" s="4" t="s">
        <v>29</v>
      </c>
      <c r="H113" s="7">
        <v>37413</v>
      </c>
      <c r="I113" s="21">
        <f ca="1">DATEDIF(H113,TODAY(),"Y")</f>
        <v>24</v>
      </c>
      <c r="J113" s="8">
        <v>50000000</v>
      </c>
      <c r="K113" s="8">
        <v>50000000</v>
      </c>
      <c r="L113" s="8">
        <v>180000</v>
      </c>
      <c r="M113" s="8">
        <f>(Table2[[#This Row],[Salary/
Week]]*52)</f>
        <v>9360000</v>
      </c>
      <c r="N113" s="9">
        <v>46231</v>
      </c>
      <c r="O113" s="10">
        <v>47664</v>
      </c>
      <c r="P113" s="4">
        <f ca="1">DATEDIF(N113,TODAY(),"Y")</f>
        <v>0</v>
      </c>
      <c r="Q113" s="4">
        <f ca="1">DATEDIF(TODAY(),O113,"y")</f>
        <v>3</v>
      </c>
      <c r="R113" s="4">
        <f ca="1">DATEDIF(TODAY(),O113,"m")</f>
        <v>45</v>
      </c>
      <c r="S113" s="4"/>
      <c r="T113" s="4"/>
      <c r="U113" s="4"/>
      <c r="V113" s="4" t="s">
        <v>397</v>
      </c>
      <c r="W113" s="16" t="s">
        <v>531</v>
      </c>
      <c r="X113" s="4"/>
    </row>
    <row r="114" spans="1:24" x14ac:dyDescent="0.25">
      <c r="A114" s="1" t="s">
        <v>139</v>
      </c>
      <c r="B114" s="4"/>
      <c r="C114" s="5" t="s">
        <v>401</v>
      </c>
      <c r="D114" s="12">
        <v>6</v>
      </c>
      <c r="E114" s="2" t="s">
        <v>151</v>
      </c>
      <c r="F114" s="4" t="s">
        <v>28</v>
      </c>
      <c r="G114" s="4" t="s">
        <v>29</v>
      </c>
      <c r="H114" s="7">
        <v>38565</v>
      </c>
      <c r="I114" s="21">
        <f t="shared" ca="1" si="10"/>
        <v>21</v>
      </c>
      <c r="J114" s="8">
        <v>45000000</v>
      </c>
      <c r="K114" s="8">
        <v>50000000</v>
      </c>
      <c r="L114" s="8">
        <v>50000</v>
      </c>
      <c r="M114" s="8">
        <f>(Table2[[#This Row],[Salary/
Week]]*52)</f>
        <v>2600000</v>
      </c>
      <c r="N114" s="9">
        <v>45139</v>
      </c>
      <c r="O114" s="10">
        <v>48760</v>
      </c>
      <c r="P114" s="4">
        <f t="shared" ca="1" si="11"/>
        <v>3</v>
      </c>
      <c r="Q114" s="4">
        <f t="shared" ca="1" si="12"/>
        <v>6</v>
      </c>
      <c r="R114" s="4">
        <f t="shared" ca="1" si="13"/>
        <v>81</v>
      </c>
      <c r="S114" s="4"/>
      <c r="T114" s="4"/>
      <c r="U114" s="4"/>
      <c r="V114" s="4" t="s">
        <v>397</v>
      </c>
      <c r="W114" s="16" t="s">
        <v>509</v>
      </c>
      <c r="X114" s="4"/>
    </row>
    <row r="115" spans="1:24" x14ac:dyDescent="0.25">
      <c r="A115" s="1" t="s">
        <v>139</v>
      </c>
      <c r="B115" s="4"/>
      <c r="C115" s="5" t="s">
        <v>401</v>
      </c>
      <c r="D115" s="12">
        <v>35</v>
      </c>
      <c r="E115" s="2" t="s">
        <v>152</v>
      </c>
      <c r="F115" s="4" t="s">
        <v>28</v>
      </c>
      <c r="G115" s="4" t="s">
        <v>29</v>
      </c>
      <c r="H115" s="7">
        <v>37980</v>
      </c>
      <c r="I115" s="21">
        <f t="shared" ca="1" si="10"/>
        <v>22</v>
      </c>
      <c r="J115" s="8">
        <v>0</v>
      </c>
      <c r="K115" s="8">
        <v>13000000</v>
      </c>
      <c r="L115" s="8">
        <v>50000</v>
      </c>
      <c r="M115" s="8">
        <f>(Table2[[#This Row],[Salary/
Week]]*52)</f>
        <v>2600000</v>
      </c>
      <c r="N115" s="9">
        <v>45097</v>
      </c>
      <c r="O115" s="10">
        <v>48760</v>
      </c>
      <c r="P115" s="4">
        <f t="shared" ca="1" si="11"/>
        <v>3</v>
      </c>
      <c r="Q115" s="4">
        <f t="shared" ca="1" si="12"/>
        <v>6</v>
      </c>
      <c r="R115" s="4">
        <f t="shared" ca="1" si="13"/>
        <v>81</v>
      </c>
      <c r="S115" s="4"/>
      <c r="T115" s="4"/>
      <c r="U115" s="4"/>
      <c r="V115" s="4" t="s">
        <v>397</v>
      </c>
      <c r="W115" s="2"/>
      <c r="X115" s="4"/>
    </row>
    <row r="116" spans="1:24" x14ac:dyDescent="0.25">
      <c r="A116" s="1" t="s">
        <v>139</v>
      </c>
      <c r="B116" s="4"/>
      <c r="C116" s="5" t="s">
        <v>401</v>
      </c>
      <c r="D116" s="12">
        <v>81</v>
      </c>
      <c r="E116" s="2" t="s">
        <v>153</v>
      </c>
      <c r="F116" s="4" t="s">
        <v>29</v>
      </c>
      <c r="G116" s="4" t="s">
        <v>29</v>
      </c>
      <c r="H116" s="7">
        <v>37661</v>
      </c>
      <c r="I116" s="21">
        <f t="shared" ca="1" si="10"/>
        <v>23</v>
      </c>
      <c r="J116" s="8">
        <v>45000000</v>
      </c>
      <c r="K116" s="8">
        <v>30000000</v>
      </c>
      <c r="L116" s="8">
        <v>100000</v>
      </c>
      <c r="M116" s="8">
        <f>(Table2[[#This Row],[Salary/
Week]]*52)</f>
        <v>5200000</v>
      </c>
      <c r="N116" s="9">
        <v>45135</v>
      </c>
      <c r="O116" s="10">
        <v>48760</v>
      </c>
      <c r="P116" s="4">
        <f t="shared" ca="1" si="11"/>
        <v>3</v>
      </c>
      <c r="Q116" s="4">
        <f t="shared" ca="1" si="12"/>
        <v>6</v>
      </c>
      <c r="R116" s="4">
        <f t="shared" ca="1" si="13"/>
        <v>81</v>
      </c>
      <c r="S116" s="4"/>
      <c r="T116" s="4"/>
      <c r="U116" s="4"/>
      <c r="V116" s="4" t="s">
        <v>397</v>
      </c>
      <c r="W116" s="2"/>
      <c r="X116" s="4"/>
    </row>
    <row r="117" spans="1:24" x14ac:dyDescent="0.25">
      <c r="A117" s="1" t="s">
        <v>139</v>
      </c>
      <c r="B117" s="4"/>
      <c r="C117" s="5" t="s">
        <v>400</v>
      </c>
      <c r="D117" s="12">
        <v>21</v>
      </c>
      <c r="E117" s="2" t="s">
        <v>154</v>
      </c>
      <c r="F117" s="4" t="s">
        <v>29</v>
      </c>
      <c r="G117" s="4" t="s">
        <v>28</v>
      </c>
      <c r="H117" s="7">
        <v>36340</v>
      </c>
      <c r="I117" s="21">
        <f t="shared" ca="1" si="10"/>
        <v>27</v>
      </c>
      <c r="J117" s="8">
        <v>70000000</v>
      </c>
      <c r="K117" s="8">
        <v>50000000</v>
      </c>
      <c r="L117" s="8">
        <v>45000</v>
      </c>
      <c r="M117" s="8">
        <f>(Table2[[#This Row],[Salary/
Week]]*52)</f>
        <v>2340000</v>
      </c>
      <c r="N117" s="9">
        <v>45496</v>
      </c>
      <c r="O117" s="10">
        <v>46934</v>
      </c>
      <c r="P117" s="4">
        <f t="shared" ca="1" si="11"/>
        <v>2</v>
      </c>
      <c r="Q117" s="4">
        <f t="shared" ca="1" si="12"/>
        <v>1</v>
      </c>
      <c r="R117" s="4">
        <f t="shared" ca="1" si="13"/>
        <v>21</v>
      </c>
      <c r="S117" s="4"/>
      <c r="T117" s="4"/>
      <c r="U117" s="4"/>
      <c r="V117" s="4" t="s">
        <v>397</v>
      </c>
      <c r="W117" s="15" t="s">
        <v>670</v>
      </c>
      <c r="X117" s="4"/>
    </row>
    <row r="118" spans="1:24" x14ac:dyDescent="0.25">
      <c r="A118" s="1" t="s">
        <v>139</v>
      </c>
      <c r="B118" s="4" t="s">
        <v>47</v>
      </c>
      <c r="C118" s="5" t="s">
        <v>400</v>
      </c>
      <c r="D118" s="12">
        <v>8</v>
      </c>
      <c r="E118" s="2" t="s">
        <v>155</v>
      </c>
      <c r="F118" s="4" t="s">
        <v>30</v>
      </c>
      <c r="G118" s="4" t="s">
        <v>30</v>
      </c>
      <c r="H118" s="7">
        <v>35931</v>
      </c>
      <c r="I118" s="21">
        <f t="shared" ca="1" si="10"/>
        <v>28</v>
      </c>
      <c r="J118" s="8">
        <v>65000000</v>
      </c>
      <c r="K118" s="8">
        <v>50000000</v>
      </c>
      <c r="L118" s="8">
        <v>300000</v>
      </c>
      <c r="M118" s="8">
        <f>(Table2[[#This Row],[Salary/
Week]]*52)</f>
        <v>15600000</v>
      </c>
      <c r="N118" s="9">
        <v>45124</v>
      </c>
      <c r="O118" s="10">
        <v>48760</v>
      </c>
      <c r="P118" s="4">
        <f t="shared" ca="1" si="11"/>
        <v>3</v>
      </c>
      <c r="Q118" s="4">
        <f t="shared" ca="1" si="12"/>
        <v>6</v>
      </c>
      <c r="R118" s="4">
        <f t="shared" ca="1" si="13"/>
        <v>81</v>
      </c>
      <c r="S118" s="4"/>
      <c r="T118" s="4"/>
      <c r="U118" s="4"/>
      <c r="V118" s="4" t="s">
        <v>396</v>
      </c>
      <c r="W118" s="2" t="s">
        <v>533</v>
      </c>
      <c r="X118" s="4"/>
    </row>
    <row r="119" spans="1:24" x14ac:dyDescent="0.25">
      <c r="A119" s="1" t="s">
        <v>139</v>
      </c>
      <c r="B119" s="4"/>
      <c r="C119" s="5" t="s">
        <v>401</v>
      </c>
      <c r="D119" s="12">
        <v>14</v>
      </c>
      <c r="E119" s="2" t="s">
        <v>156</v>
      </c>
      <c r="F119" s="4" t="s">
        <v>30</v>
      </c>
      <c r="G119" s="4" t="s">
        <v>34</v>
      </c>
      <c r="H119" s="7">
        <v>36015</v>
      </c>
      <c r="I119" s="21">
        <f t="shared" ca="1" si="10"/>
        <v>28</v>
      </c>
      <c r="J119" s="8">
        <v>0</v>
      </c>
      <c r="K119" s="8">
        <v>35000000</v>
      </c>
      <c r="L119" s="8">
        <v>100000</v>
      </c>
      <c r="M119" s="8">
        <f>(Table2[[#This Row],[Salary/
Week]]*52)</f>
        <v>5200000</v>
      </c>
      <c r="N119" s="9">
        <v>45867</v>
      </c>
      <c r="O119" s="10">
        <v>47299</v>
      </c>
      <c r="P119" s="4">
        <f t="shared" ca="1" si="11"/>
        <v>1</v>
      </c>
      <c r="Q119" s="4">
        <f t="shared" ca="1" si="12"/>
        <v>2</v>
      </c>
      <c r="R119" s="4">
        <f t="shared" ca="1" si="13"/>
        <v>33</v>
      </c>
      <c r="S119" s="4"/>
      <c r="T119" s="4"/>
      <c r="U119" s="4"/>
      <c r="V119" s="4" t="s">
        <v>397</v>
      </c>
      <c r="W119" s="2" t="s">
        <v>534</v>
      </c>
      <c r="X119" s="4"/>
    </row>
    <row r="120" spans="1:24" x14ac:dyDescent="0.25">
      <c r="A120" s="1" t="s">
        <v>139</v>
      </c>
      <c r="B120" s="4"/>
      <c r="C120" s="5" t="s">
        <v>401</v>
      </c>
      <c r="D120" s="12">
        <v>11</v>
      </c>
      <c r="E120" s="2" t="s">
        <v>157</v>
      </c>
      <c r="F120" s="4" t="s">
        <v>32</v>
      </c>
      <c r="G120" s="4" t="s">
        <v>30</v>
      </c>
      <c r="H120" s="7">
        <v>38975</v>
      </c>
      <c r="I120" s="21">
        <f t="shared" ca="1" si="10"/>
        <v>19</v>
      </c>
      <c r="J120" s="8">
        <v>0</v>
      </c>
      <c r="K120" s="8">
        <v>22500000</v>
      </c>
      <c r="L120" s="8">
        <v>65000</v>
      </c>
      <c r="M120" s="8">
        <f>(Table2[[#This Row],[Salary/
Week]]*52)</f>
        <v>3380000</v>
      </c>
      <c r="N120" s="9">
        <v>45867</v>
      </c>
      <c r="O120" s="10">
        <v>48760</v>
      </c>
      <c r="P120" s="4">
        <f t="shared" ca="1" si="11"/>
        <v>1</v>
      </c>
      <c r="Q120" s="4">
        <f t="shared" ca="1" si="12"/>
        <v>6</v>
      </c>
      <c r="R120" s="4">
        <f t="shared" ca="1" si="13"/>
        <v>81</v>
      </c>
      <c r="S120" s="4"/>
      <c r="T120" s="4"/>
      <c r="U120" s="4"/>
      <c r="V120" s="4" t="s">
        <v>397</v>
      </c>
      <c r="W120" s="16" t="s">
        <v>494</v>
      </c>
      <c r="X120" s="4"/>
    </row>
    <row r="121" spans="1:24" x14ac:dyDescent="0.25">
      <c r="A121" s="1" t="s">
        <v>139</v>
      </c>
      <c r="B121" s="4"/>
      <c r="C121" s="5" t="s">
        <v>400</v>
      </c>
      <c r="D121" s="12">
        <v>10</v>
      </c>
      <c r="E121" s="2" t="s">
        <v>158</v>
      </c>
      <c r="F121" s="4" t="s">
        <v>32</v>
      </c>
      <c r="G121" s="4" t="s">
        <v>30</v>
      </c>
      <c r="H121" s="7">
        <v>36463</v>
      </c>
      <c r="I121" s="21">
        <f t="shared" ca="1" si="10"/>
        <v>26</v>
      </c>
      <c r="J121" s="8">
        <v>95000000</v>
      </c>
      <c r="K121" s="8">
        <v>70000000</v>
      </c>
      <c r="L121" s="8">
        <v>250000</v>
      </c>
      <c r="M121" s="8">
        <f>(Table2[[#This Row],[Salary/
Week]]*52)</f>
        <v>13000000</v>
      </c>
      <c r="N121" s="9">
        <v>45162</v>
      </c>
      <c r="O121" s="10">
        <v>46934</v>
      </c>
      <c r="P121" s="4">
        <f t="shared" ca="1" si="11"/>
        <v>3</v>
      </c>
      <c r="Q121" s="4">
        <f t="shared" ca="1" si="12"/>
        <v>1</v>
      </c>
      <c r="R121" s="4">
        <f t="shared" ca="1" si="13"/>
        <v>21</v>
      </c>
      <c r="S121" s="4"/>
      <c r="T121" s="4"/>
      <c r="U121" s="4"/>
      <c r="V121" s="4" t="s">
        <v>397</v>
      </c>
      <c r="W121" s="15" t="s">
        <v>482</v>
      </c>
      <c r="X121" s="4"/>
    </row>
    <row r="122" spans="1:24" x14ac:dyDescent="0.25">
      <c r="A122" s="1" t="s">
        <v>139</v>
      </c>
      <c r="B122" s="4"/>
      <c r="C122" s="5" t="s">
        <v>400</v>
      </c>
      <c r="D122" s="12">
        <v>9</v>
      </c>
      <c r="E122" s="2" t="s">
        <v>159</v>
      </c>
      <c r="F122" s="4" t="s">
        <v>31</v>
      </c>
      <c r="G122" s="4" t="s">
        <v>31</v>
      </c>
      <c r="H122" s="7">
        <v>38857</v>
      </c>
      <c r="I122" s="21">
        <f t="shared" ca="1" si="10"/>
        <v>20</v>
      </c>
      <c r="J122" s="8">
        <v>0</v>
      </c>
      <c r="K122" s="8">
        <v>180000000</v>
      </c>
      <c r="L122" s="8">
        <v>365000</v>
      </c>
      <c r="M122" s="8">
        <f>(Table2[[#This Row],[Salary/
Week]]*52)</f>
        <v>18980000</v>
      </c>
      <c r="N122" s="9">
        <v>45499</v>
      </c>
      <c r="O122" s="10">
        <v>47664</v>
      </c>
      <c r="P122" s="4">
        <f t="shared" ca="1" si="11"/>
        <v>2</v>
      </c>
      <c r="Q122" s="4">
        <f t="shared" ca="1" si="12"/>
        <v>3</v>
      </c>
      <c r="R122" s="4">
        <f t="shared" ca="1" si="13"/>
        <v>45</v>
      </c>
      <c r="S122" s="4"/>
      <c r="T122" s="4"/>
      <c r="U122" s="4"/>
      <c r="V122" s="4" t="s">
        <v>396</v>
      </c>
      <c r="W122" s="16" t="s">
        <v>481</v>
      </c>
      <c r="X122" s="4"/>
    </row>
    <row r="123" spans="1:24" x14ac:dyDescent="0.25">
      <c r="A123" s="1" t="s">
        <v>139</v>
      </c>
      <c r="B123" s="4"/>
      <c r="C123" s="5" t="s">
        <v>401</v>
      </c>
      <c r="D123" s="12">
        <v>15</v>
      </c>
      <c r="E123" s="2" t="s">
        <v>160</v>
      </c>
      <c r="F123" s="4" t="s">
        <v>31</v>
      </c>
      <c r="G123" s="4" t="s">
        <v>31</v>
      </c>
      <c r="H123" s="7">
        <v>39082</v>
      </c>
      <c r="I123" s="21">
        <f t="shared" ca="1" si="10"/>
        <v>19</v>
      </c>
      <c r="J123" s="8">
        <v>6000000</v>
      </c>
      <c r="K123" s="8">
        <v>12000000</v>
      </c>
      <c r="L123" s="8">
        <v>81000</v>
      </c>
      <c r="M123" s="8">
        <f>(Table2[[#This Row],[Salary/
Week]]*52)</f>
        <v>4212000</v>
      </c>
      <c r="N123" s="9">
        <v>45874</v>
      </c>
      <c r="O123" s="10">
        <v>48029</v>
      </c>
      <c r="P123" s="4">
        <f t="shared" ca="1" si="11"/>
        <v>1</v>
      </c>
      <c r="Q123" s="4">
        <f t="shared" ca="1" si="12"/>
        <v>4</v>
      </c>
      <c r="R123" s="4">
        <f t="shared" ca="1" si="13"/>
        <v>57</v>
      </c>
      <c r="S123" s="4"/>
      <c r="T123" s="4"/>
      <c r="U123" s="4"/>
      <c r="V123" s="4" t="s">
        <v>397</v>
      </c>
      <c r="W123" s="2" t="s">
        <v>466</v>
      </c>
      <c r="X123" s="4"/>
    </row>
    <row r="124" spans="1:24" x14ac:dyDescent="0.25">
      <c r="A124" s="1" t="s">
        <v>139</v>
      </c>
      <c r="B124" s="4"/>
      <c r="C124" s="5" t="s">
        <v>400</v>
      </c>
      <c r="D124" s="12">
        <v>7</v>
      </c>
      <c r="E124" s="2" t="s">
        <v>161</v>
      </c>
      <c r="F124" s="4" t="s">
        <v>35</v>
      </c>
      <c r="G124" s="4" t="s">
        <v>36</v>
      </c>
      <c r="H124" s="7">
        <v>36847</v>
      </c>
      <c r="I124" s="21">
        <f t="shared" ca="1" si="10"/>
        <v>25</v>
      </c>
      <c r="J124" s="8">
        <v>75000000</v>
      </c>
      <c r="K124" s="8">
        <v>45000000</v>
      </c>
      <c r="L124" s="8">
        <v>245000</v>
      </c>
      <c r="M124" s="8">
        <f>(Table2[[#This Row],[Salary/
Week]]*52)</f>
        <v>12740000</v>
      </c>
      <c r="N124" s="9">
        <v>45097</v>
      </c>
      <c r="O124" s="10">
        <v>48760</v>
      </c>
      <c r="P124" s="4">
        <f t="shared" ca="1" si="11"/>
        <v>3</v>
      </c>
      <c r="Q124" s="4">
        <f t="shared" ca="1" si="12"/>
        <v>6</v>
      </c>
      <c r="R124" s="4">
        <f t="shared" ca="1" si="13"/>
        <v>81</v>
      </c>
      <c r="S124" s="4"/>
      <c r="T124" s="4"/>
      <c r="U124" s="4"/>
      <c r="V124" s="4" t="s">
        <v>396</v>
      </c>
      <c r="W124" s="15" t="s">
        <v>535</v>
      </c>
      <c r="X124" s="4"/>
    </row>
    <row r="125" spans="1:24" x14ac:dyDescent="0.25">
      <c r="A125" s="1" t="s">
        <v>139</v>
      </c>
      <c r="B125" s="4"/>
      <c r="C125" s="5" t="s">
        <v>401</v>
      </c>
      <c r="D125" s="12">
        <v>16</v>
      </c>
      <c r="E125" s="2" t="s">
        <v>162</v>
      </c>
      <c r="F125" s="4" t="s">
        <v>35</v>
      </c>
      <c r="G125" s="4" t="s">
        <v>36</v>
      </c>
      <c r="H125" s="7">
        <v>38388</v>
      </c>
      <c r="I125" s="21">
        <f t="shared" ca="1" si="10"/>
        <v>21</v>
      </c>
      <c r="J125" s="8">
        <v>15000</v>
      </c>
      <c r="K125" s="8">
        <v>2000000</v>
      </c>
      <c r="L125" s="8">
        <v>35000</v>
      </c>
      <c r="M125" s="8">
        <f>(Table2[[#This Row],[Salary/
Week]]*52)</f>
        <v>1820000</v>
      </c>
      <c r="N125" s="9">
        <v>45867</v>
      </c>
      <c r="O125" s="10">
        <v>47664</v>
      </c>
      <c r="P125" s="4">
        <f t="shared" ca="1" si="11"/>
        <v>1</v>
      </c>
      <c r="Q125" s="4">
        <f t="shared" ca="1" si="12"/>
        <v>3</v>
      </c>
      <c r="R125" s="4">
        <f t="shared" ca="1" si="13"/>
        <v>45</v>
      </c>
      <c r="S125" s="4"/>
      <c r="T125" s="4"/>
      <c r="U125" s="4"/>
      <c r="V125" s="4" t="s">
        <v>396</v>
      </c>
      <c r="W125" s="2"/>
      <c r="X125" s="4"/>
    </row>
    <row r="126" spans="1:24" x14ac:dyDescent="0.25">
      <c r="A126" s="1" t="s">
        <v>163</v>
      </c>
      <c r="B126" s="4"/>
      <c r="C126" s="5" t="s">
        <v>400</v>
      </c>
      <c r="D126" s="12">
        <v>1</v>
      </c>
      <c r="E126" s="2" t="s">
        <v>165</v>
      </c>
      <c r="F126" s="4" t="s">
        <v>23</v>
      </c>
      <c r="G126" s="4" t="s">
        <v>23</v>
      </c>
      <c r="H126" s="7">
        <v>38495</v>
      </c>
      <c r="I126" s="21">
        <f t="shared" ca="1" si="10"/>
        <v>21</v>
      </c>
      <c r="J126" s="8">
        <v>15000000</v>
      </c>
      <c r="K126" s="8">
        <v>17500000</v>
      </c>
      <c r="L126" s="8">
        <v>135000</v>
      </c>
      <c r="M126" s="8">
        <f>(Table2[[#This Row],[Salary/
Week]]*52)</f>
        <v>7020000</v>
      </c>
      <c r="N126" s="9">
        <v>45867</v>
      </c>
      <c r="O126" s="10">
        <v>47299</v>
      </c>
      <c r="P126" s="4">
        <f t="shared" ca="1" si="11"/>
        <v>1</v>
      </c>
      <c r="Q126" s="4">
        <f t="shared" ca="1" si="12"/>
        <v>2</v>
      </c>
      <c r="R126" s="4">
        <f t="shared" ca="1" si="13"/>
        <v>33</v>
      </c>
      <c r="S126" s="4"/>
      <c r="T126" s="4"/>
      <c r="U126" s="4"/>
      <c r="V126" s="4" t="s">
        <v>397</v>
      </c>
      <c r="W126" s="2"/>
      <c r="X126" s="4"/>
    </row>
    <row r="127" spans="1:24" x14ac:dyDescent="0.25">
      <c r="A127" s="1" t="s">
        <v>163</v>
      </c>
      <c r="B127" s="4"/>
      <c r="C127" s="5" t="s">
        <v>401</v>
      </c>
      <c r="D127" s="12">
        <v>31</v>
      </c>
      <c r="E127" s="2" t="s">
        <v>427</v>
      </c>
      <c r="F127" s="4" t="s">
        <v>23</v>
      </c>
      <c r="G127" s="4" t="s">
        <v>23</v>
      </c>
      <c r="H127" s="7">
        <v>37428</v>
      </c>
      <c r="I127" s="21">
        <f ca="1">DATEDIF(H127,TODAY(),"Y")</f>
        <v>24</v>
      </c>
      <c r="J127" s="8">
        <v>5000000</v>
      </c>
      <c r="K127" s="8">
        <v>6000000</v>
      </c>
      <c r="L127" s="8">
        <v>65000</v>
      </c>
      <c r="M127" s="8">
        <f>(Table2[[#This Row],[Salary/
Week]]*52)</f>
        <v>3380000</v>
      </c>
      <c r="N127" s="9">
        <v>46224</v>
      </c>
      <c r="O127" s="10">
        <v>47299</v>
      </c>
      <c r="P127" s="4">
        <f ca="1">DATEDIF(N127,TODAY(),"Y")</f>
        <v>0</v>
      </c>
      <c r="Q127" s="4">
        <f ca="1">DATEDIF(TODAY(),O127,"y")</f>
        <v>2</v>
      </c>
      <c r="R127" s="4">
        <f ca="1">DATEDIF(TODAY(),O127,"m")</f>
        <v>33</v>
      </c>
      <c r="S127" s="4"/>
      <c r="T127" s="4"/>
      <c r="U127" s="4"/>
      <c r="V127" s="4" t="s">
        <v>396</v>
      </c>
      <c r="W127" s="2"/>
      <c r="X127" s="4"/>
    </row>
    <row r="128" spans="1:24" x14ac:dyDescent="0.25">
      <c r="A128" s="1" t="s">
        <v>163</v>
      </c>
      <c r="B128" s="4"/>
      <c r="C128" s="5" t="s">
        <v>400</v>
      </c>
      <c r="D128" s="12">
        <v>2</v>
      </c>
      <c r="E128" s="2" t="s">
        <v>355</v>
      </c>
      <c r="F128" s="4" t="s">
        <v>25</v>
      </c>
      <c r="G128" s="4" t="s">
        <v>32</v>
      </c>
      <c r="H128" s="7">
        <v>39277</v>
      </c>
      <c r="I128" s="21">
        <f ca="1">DATEDIF(H128,TODAY(),"Y")</f>
        <v>19</v>
      </c>
      <c r="J128" s="8">
        <v>85000000</v>
      </c>
      <c r="K128" s="8">
        <v>70000000</v>
      </c>
      <c r="L128" s="8">
        <v>350000</v>
      </c>
      <c r="M128" s="8">
        <f>(Table2[[#This Row],[Salary/
Week]]*52)</f>
        <v>18200000</v>
      </c>
      <c r="N128" s="9">
        <v>46228</v>
      </c>
      <c r="O128" s="10">
        <v>49125</v>
      </c>
      <c r="P128" s="4">
        <f ca="1">DATEDIF(N128,TODAY(),"Y")</f>
        <v>0</v>
      </c>
      <c r="Q128" s="4">
        <f ca="1">DATEDIF(TODAY(),O128,"y")</f>
        <v>7</v>
      </c>
      <c r="R128" s="4">
        <f ca="1">DATEDIF(TODAY(),O128,"m")</f>
        <v>93</v>
      </c>
      <c r="S128" s="4"/>
      <c r="T128" s="4"/>
      <c r="U128" s="4"/>
      <c r="V128" s="4" t="s">
        <v>396</v>
      </c>
      <c r="W128" s="15" t="s">
        <v>505</v>
      </c>
      <c r="X128" s="4"/>
    </row>
    <row r="129" spans="1:24" x14ac:dyDescent="0.25">
      <c r="A129" s="1" t="s">
        <v>163</v>
      </c>
      <c r="B129" s="4"/>
      <c r="C129" s="5" t="s">
        <v>401</v>
      </c>
      <c r="D129" s="12">
        <v>24</v>
      </c>
      <c r="E129" s="2" t="s">
        <v>432</v>
      </c>
      <c r="F129" s="4" t="s">
        <v>25</v>
      </c>
      <c r="G129" s="4" t="s">
        <v>26</v>
      </c>
      <c r="H129" s="7">
        <v>36870</v>
      </c>
      <c r="I129" s="21">
        <f ca="1">DATEDIF(H129,TODAY(),"Y")</f>
        <v>25</v>
      </c>
      <c r="J129" s="8">
        <v>25000000</v>
      </c>
      <c r="K129" s="8">
        <v>15000000</v>
      </c>
      <c r="L129" s="8">
        <v>55000</v>
      </c>
      <c r="M129" s="8">
        <f>(Table2[[#This Row],[Salary/
Week]]*52)</f>
        <v>2860000</v>
      </c>
      <c r="N129" s="9">
        <v>46231</v>
      </c>
      <c r="O129" s="10">
        <v>48760</v>
      </c>
      <c r="P129" s="4">
        <f ca="1">DATEDIF(N129,TODAY(),"Y")</f>
        <v>0</v>
      </c>
      <c r="Q129" s="4">
        <f ca="1">DATEDIF(TODAY(),O129,"y")</f>
        <v>6</v>
      </c>
      <c r="R129" s="4">
        <f ca="1">DATEDIF(TODAY(),O129,"m")</f>
        <v>81</v>
      </c>
      <c r="S129" s="4"/>
      <c r="T129" s="4"/>
      <c r="U129" s="4"/>
      <c r="V129" s="4" t="s">
        <v>396</v>
      </c>
      <c r="W129" s="2"/>
      <c r="X129" s="4"/>
    </row>
    <row r="130" spans="1:24" x14ac:dyDescent="0.25">
      <c r="A130" s="1" t="s">
        <v>163</v>
      </c>
      <c r="B130" s="4" t="s">
        <v>47</v>
      </c>
      <c r="C130" s="5" t="s">
        <v>400</v>
      </c>
      <c r="D130" s="12">
        <v>4</v>
      </c>
      <c r="E130" s="2" t="s">
        <v>192</v>
      </c>
      <c r="F130" s="4" t="s">
        <v>26</v>
      </c>
      <c r="G130" s="4" t="s">
        <v>26</v>
      </c>
      <c r="H130" s="7">
        <v>35654</v>
      </c>
      <c r="I130" s="21">
        <f ca="1">DATEDIF(H130,TODAY(),"Y")</f>
        <v>29</v>
      </c>
      <c r="J130" s="8">
        <v>85000000</v>
      </c>
      <c r="K130" s="8">
        <v>75000000</v>
      </c>
      <c r="L130" s="8">
        <v>700000</v>
      </c>
      <c r="M130" s="8">
        <f>(Table2[[#This Row],[Salary/
Week]]*52)</f>
        <v>36400000</v>
      </c>
      <c r="N130" s="9">
        <v>46233</v>
      </c>
      <c r="O130" s="10">
        <v>47664</v>
      </c>
      <c r="P130" s="4">
        <f ca="1">DATEDIF(N130,TODAY(),"Y")</f>
        <v>0</v>
      </c>
      <c r="Q130" s="4">
        <f ca="1">DATEDIF(TODAY(),O130,"y")</f>
        <v>3</v>
      </c>
      <c r="R130" s="4">
        <f ca="1">DATEDIF(TODAY(),O130,"m")</f>
        <v>45</v>
      </c>
      <c r="S130" s="4"/>
      <c r="T130" s="4"/>
      <c r="U130" s="4"/>
      <c r="V130" s="4" t="s">
        <v>397</v>
      </c>
      <c r="W130" s="16" t="s">
        <v>506</v>
      </c>
      <c r="X130" s="4"/>
    </row>
    <row r="131" spans="1:24" x14ac:dyDescent="0.25">
      <c r="A131" s="1" t="s">
        <v>163</v>
      </c>
      <c r="B131" s="4"/>
      <c r="C131" s="5" t="s">
        <v>401</v>
      </c>
      <c r="D131" s="12">
        <v>3</v>
      </c>
      <c r="E131" s="2" t="s">
        <v>169</v>
      </c>
      <c r="F131" s="4" t="s">
        <v>26</v>
      </c>
      <c r="G131" s="4" t="s">
        <v>26</v>
      </c>
      <c r="H131" s="7">
        <v>35092</v>
      </c>
      <c r="I131" s="21">
        <f t="shared" ca="1" si="10"/>
        <v>30</v>
      </c>
      <c r="J131" s="8">
        <v>0</v>
      </c>
      <c r="K131" s="8">
        <v>35000000</v>
      </c>
      <c r="L131" s="8">
        <v>250000</v>
      </c>
      <c r="M131" s="8">
        <f>(Table2[[#This Row],[Salary/
Week]]*52)</f>
        <v>13000000</v>
      </c>
      <c r="N131" s="9">
        <v>45124</v>
      </c>
      <c r="O131" s="10">
        <v>46568</v>
      </c>
      <c r="P131" s="4">
        <f t="shared" ca="1" si="11"/>
        <v>3</v>
      </c>
      <c r="Q131" s="4">
        <f t="shared" ca="1" si="12"/>
        <v>0</v>
      </c>
      <c r="R131" s="4">
        <f t="shared" ca="1" si="13"/>
        <v>9</v>
      </c>
      <c r="S131" s="4"/>
      <c r="T131" s="4"/>
      <c r="U131" s="4"/>
      <c r="V131" s="4" t="s">
        <v>396</v>
      </c>
      <c r="W131" s="2" t="s">
        <v>464</v>
      </c>
      <c r="X131" s="4"/>
    </row>
    <row r="132" spans="1:24" x14ac:dyDescent="0.25">
      <c r="A132" s="1" t="s">
        <v>163</v>
      </c>
      <c r="B132" s="4"/>
      <c r="C132" s="5" t="s">
        <v>401</v>
      </c>
      <c r="D132" s="12">
        <v>16</v>
      </c>
      <c r="E132" s="2" t="s">
        <v>170</v>
      </c>
      <c r="F132" s="4" t="s">
        <v>26</v>
      </c>
      <c r="G132" s="4" t="s">
        <v>26</v>
      </c>
      <c r="H132" s="7">
        <v>37437</v>
      </c>
      <c r="I132" s="21">
        <f t="shared" ca="1" si="10"/>
        <v>24</v>
      </c>
      <c r="J132" s="8">
        <v>0</v>
      </c>
      <c r="K132" s="8">
        <v>0</v>
      </c>
      <c r="L132" s="8">
        <v>100000</v>
      </c>
      <c r="M132" s="8">
        <f>(Table2[[#This Row],[Salary/
Week]]*52)</f>
        <v>5200000</v>
      </c>
      <c r="N132" s="9">
        <v>45560</v>
      </c>
      <c r="O132" s="10">
        <v>46568</v>
      </c>
      <c r="P132" s="4">
        <f t="shared" ca="1" si="11"/>
        <v>1</v>
      </c>
      <c r="Q132" s="4">
        <f t="shared" ca="1" si="12"/>
        <v>0</v>
      </c>
      <c r="R132" s="4">
        <f t="shared" ca="1" si="13"/>
        <v>9</v>
      </c>
      <c r="S132" s="4"/>
      <c r="T132" s="4"/>
      <c r="U132" s="4"/>
      <c r="V132" s="4" t="s">
        <v>397</v>
      </c>
      <c r="W132" s="15" t="s">
        <v>464</v>
      </c>
      <c r="X132" s="4"/>
    </row>
    <row r="133" spans="1:24" x14ac:dyDescent="0.25">
      <c r="A133" s="1" t="s">
        <v>163</v>
      </c>
      <c r="B133" s="4"/>
      <c r="C133" s="5" t="s">
        <v>401</v>
      </c>
      <c r="D133" s="12">
        <v>30</v>
      </c>
      <c r="E133" s="2" t="s">
        <v>171</v>
      </c>
      <c r="F133" s="4" t="s">
        <v>26</v>
      </c>
      <c r="G133" s="4" t="s">
        <v>26</v>
      </c>
      <c r="H133" s="7">
        <v>36606</v>
      </c>
      <c r="I133" s="21">
        <f t="shared" ca="1" si="10"/>
        <v>26</v>
      </c>
      <c r="J133" s="8">
        <v>0</v>
      </c>
      <c r="K133" s="8">
        <v>0</v>
      </c>
      <c r="L133" s="8">
        <v>115000</v>
      </c>
      <c r="M133" s="8">
        <f>(Table2[[#This Row],[Salary/
Week]]*52)</f>
        <v>5980000</v>
      </c>
      <c r="N133" s="9">
        <v>45107</v>
      </c>
      <c r="O133" s="10">
        <v>46568</v>
      </c>
      <c r="P133" s="4">
        <f t="shared" ca="1" si="11"/>
        <v>3</v>
      </c>
      <c r="Q133" s="4">
        <f t="shared" ca="1" si="12"/>
        <v>0</v>
      </c>
      <c r="R133" s="4">
        <f t="shared" ca="1" si="13"/>
        <v>9</v>
      </c>
      <c r="S133" s="4"/>
      <c r="T133" s="4"/>
      <c r="U133" s="4"/>
      <c r="V133" s="4" t="s">
        <v>397</v>
      </c>
      <c r="W133" s="15" t="s">
        <v>464</v>
      </c>
      <c r="X133" s="4"/>
    </row>
    <row r="134" spans="1:24" x14ac:dyDescent="0.25">
      <c r="A134" s="1" t="s">
        <v>163</v>
      </c>
      <c r="B134" s="4"/>
      <c r="C134" s="5" t="s">
        <v>400</v>
      </c>
      <c r="D134" s="12">
        <v>15</v>
      </c>
      <c r="E134" s="2" t="s">
        <v>313</v>
      </c>
      <c r="F134" s="4" t="s">
        <v>26</v>
      </c>
      <c r="G134" s="4" t="s">
        <v>26</v>
      </c>
      <c r="H134" s="7">
        <v>35798</v>
      </c>
      <c r="I134" s="21">
        <f ca="1">DATEDIF(H134,TODAY(),"Y")</f>
        <v>28</v>
      </c>
      <c r="J134" s="8">
        <v>0</v>
      </c>
      <c r="K134" s="8">
        <v>20000000</v>
      </c>
      <c r="L134" s="8">
        <v>300000</v>
      </c>
      <c r="M134" s="8">
        <f>(Table2[[#This Row],[Salary/
Week]]*52)</f>
        <v>15600000</v>
      </c>
      <c r="N134" s="9">
        <v>46226</v>
      </c>
      <c r="O134" s="10">
        <v>47664</v>
      </c>
      <c r="P134" s="4">
        <f ca="1">DATEDIF(N134,TODAY(),"Y")</f>
        <v>0</v>
      </c>
      <c r="Q134" s="4">
        <f ca="1">DATEDIF(TODAY(),O134,"y")</f>
        <v>3</v>
      </c>
      <c r="R134" s="4">
        <f ca="1">DATEDIF(TODAY(),O134,"m")</f>
        <v>45</v>
      </c>
      <c r="S134" s="4"/>
      <c r="T134" s="4"/>
      <c r="U134" s="4"/>
      <c r="V134" s="4" t="s">
        <v>397</v>
      </c>
      <c r="W134" s="15" t="s">
        <v>507</v>
      </c>
      <c r="X134" s="4"/>
    </row>
    <row r="135" spans="1:24" x14ac:dyDescent="0.25">
      <c r="A135" s="1" t="s">
        <v>163</v>
      </c>
      <c r="B135" s="4"/>
      <c r="C135" s="5" t="s">
        <v>400</v>
      </c>
      <c r="D135" s="12">
        <v>5</v>
      </c>
      <c r="E135" s="2" t="s">
        <v>289</v>
      </c>
      <c r="F135" s="4" t="s">
        <v>27</v>
      </c>
      <c r="G135" s="4" t="s">
        <v>28</v>
      </c>
      <c r="H135" s="7">
        <v>37560</v>
      </c>
      <c r="I135" s="21">
        <f t="shared" ca="1" si="10"/>
        <v>23</v>
      </c>
      <c r="J135" s="8">
        <v>0</v>
      </c>
      <c r="K135" s="8">
        <v>25000000</v>
      </c>
      <c r="L135" s="8">
        <v>135000</v>
      </c>
      <c r="M135" s="8">
        <f>(Table2[[#This Row],[Salary/
Week]]*52)</f>
        <v>7020000</v>
      </c>
      <c r="N135" s="9">
        <v>46221</v>
      </c>
      <c r="O135" s="10">
        <v>47664</v>
      </c>
      <c r="P135" s="4">
        <f t="shared" ca="1" si="11"/>
        <v>0</v>
      </c>
      <c r="Q135" s="4">
        <f t="shared" ca="1" si="12"/>
        <v>3</v>
      </c>
      <c r="R135" s="4">
        <f t="shared" ca="1" si="13"/>
        <v>45</v>
      </c>
      <c r="S135" s="4"/>
      <c r="T135" s="4"/>
      <c r="U135" s="4"/>
      <c r="V135" s="4" t="s">
        <v>397</v>
      </c>
      <c r="W135" s="15" t="s">
        <v>487</v>
      </c>
      <c r="X135" s="4"/>
    </row>
    <row r="136" spans="1:24" x14ac:dyDescent="0.25">
      <c r="A136" s="1" t="s">
        <v>163</v>
      </c>
      <c r="B136" s="4"/>
      <c r="C136" s="5" t="s">
        <v>401</v>
      </c>
      <c r="D136" s="12">
        <v>14</v>
      </c>
      <c r="E136" s="2" t="s">
        <v>434</v>
      </c>
      <c r="F136" s="4" t="s">
        <v>27</v>
      </c>
      <c r="G136" s="4" t="s">
        <v>27</v>
      </c>
      <c r="H136" s="7">
        <v>39223</v>
      </c>
      <c r="I136" s="21">
        <f ca="1">DATEDIF(H136,TODAY(),"Y")</f>
        <v>19</v>
      </c>
      <c r="J136" s="8">
        <v>67000000</v>
      </c>
      <c r="K136" s="8">
        <v>70000000</v>
      </c>
      <c r="L136" s="8">
        <v>233000</v>
      </c>
      <c r="M136" s="8">
        <f>(Table2[[#This Row],[Salary/
Week]]*52)</f>
        <v>12116000</v>
      </c>
      <c r="N136" s="9">
        <v>46203</v>
      </c>
      <c r="O136" s="10">
        <v>50221</v>
      </c>
      <c r="P136" s="4">
        <f ca="1">DATEDIF(N136,TODAY(),"Y")</f>
        <v>0</v>
      </c>
      <c r="Q136" s="4">
        <f ca="1">DATEDIF(TODAY(),O136,"y")</f>
        <v>10</v>
      </c>
      <c r="R136" s="4">
        <f ca="1">DATEDIF(TODAY(),O136,"m")</f>
        <v>129</v>
      </c>
      <c r="S136" s="4"/>
      <c r="T136" s="4"/>
      <c r="U136" s="4"/>
      <c r="V136" s="4" t="s">
        <v>397</v>
      </c>
      <c r="W136" s="15" t="s">
        <v>487</v>
      </c>
      <c r="X136" s="4"/>
    </row>
    <row r="137" spans="1:24" x14ac:dyDescent="0.25">
      <c r="A137" s="1" t="s">
        <v>163</v>
      </c>
      <c r="B137" s="4"/>
      <c r="C137" s="5" t="s">
        <v>400</v>
      </c>
      <c r="D137" s="12">
        <v>6</v>
      </c>
      <c r="E137" s="2" t="s">
        <v>249</v>
      </c>
      <c r="F137" s="4" t="s">
        <v>28</v>
      </c>
      <c r="G137" s="4" t="s">
        <v>28</v>
      </c>
      <c r="H137" s="7">
        <v>36341</v>
      </c>
      <c r="I137" s="21">
        <f t="shared" ca="1" si="10"/>
        <v>27</v>
      </c>
      <c r="J137" s="8">
        <v>65000000</v>
      </c>
      <c r="K137" s="8">
        <v>65000000</v>
      </c>
      <c r="L137" s="8">
        <v>500000</v>
      </c>
      <c r="M137" s="8">
        <f>(Table2[[#This Row],[Salary/
Week]]*52)</f>
        <v>26000000</v>
      </c>
      <c r="N137" s="9">
        <v>46227</v>
      </c>
      <c r="O137" s="10">
        <v>48395</v>
      </c>
      <c r="P137" s="4">
        <f t="shared" ca="1" si="11"/>
        <v>0</v>
      </c>
      <c r="Q137" s="4">
        <f t="shared" ca="1" si="12"/>
        <v>5</v>
      </c>
      <c r="R137" s="4">
        <f t="shared" ca="1" si="13"/>
        <v>69</v>
      </c>
      <c r="S137" s="4"/>
      <c r="T137" s="4"/>
      <c r="U137" s="4"/>
      <c r="V137" s="4" t="s">
        <v>397</v>
      </c>
      <c r="W137" s="16" t="s">
        <v>508</v>
      </c>
      <c r="X137" s="4"/>
    </row>
    <row r="138" spans="1:24" x14ac:dyDescent="0.25">
      <c r="A138" s="1" t="s">
        <v>163</v>
      </c>
      <c r="B138" s="4"/>
      <c r="C138" s="5" t="s">
        <v>401</v>
      </c>
      <c r="D138" s="12">
        <v>25</v>
      </c>
      <c r="E138" s="2" t="s">
        <v>223</v>
      </c>
      <c r="F138" s="4" t="s">
        <v>28</v>
      </c>
      <c r="G138" s="4" t="s">
        <v>28</v>
      </c>
      <c r="H138" s="7">
        <v>34305</v>
      </c>
      <c r="I138" s="21">
        <f t="shared" ca="1" si="10"/>
        <v>32</v>
      </c>
      <c r="J138" s="8">
        <v>0</v>
      </c>
      <c r="K138" s="8">
        <v>0</v>
      </c>
      <c r="L138" s="8">
        <v>120000</v>
      </c>
      <c r="M138" s="8">
        <f>(Table2[[#This Row],[Salary/
Week]]*52)</f>
        <v>6240000</v>
      </c>
      <c r="N138" s="9">
        <v>46221</v>
      </c>
      <c r="O138" s="10">
        <v>47664</v>
      </c>
      <c r="P138" s="4">
        <f t="shared" ca="1" si="11"/>
        <v>0</v>
      </c>
      <c r="Q138" s="4">
        <f t="shared" ca="1" si="12"/>
        <v>3</v>
      </c>
      <c r="R138" s="4">
        <f t="shared" ca="1" si="13"/>
        <v>45</v>
      </c>
      <c r="S138" s="4"/>
      <c r="T138" s="4"/>
      <c r="U138" s="4"/>
      <c r="V138" s="4" t="s">
        <v>397</v>
      </c>
      <c r="W138" s="15" t="s">
        <v>467</v>
      </c>
      <c r="X138" s="4"/>
    </row>
    <row r="139" spans="1:24" x14ac:dyDescent="0.25">
      <c r="A139" s="1" t="s">
        <v>163</v>
      </c>
      <c r="B139" s="4"/>
      <c r="C139" s="5" t="s">
        <v>401</v>
      </c>
      <c r="D139" s="12">
        <v>62</v>
      </c>
      <c r="E139" s="2" t="s">
        <v>176</v>
      </c>
      <c r="F139" s="4" t="s">
        <v>28</v>
      </c>
      <c r="G139" s="4" t="s">
        <v>28</v>
      </c>
      <c r="H139" s="7">
        <v>39604</v>
      </c>
      <c r="I139" s="21">
        <f t="shared" ref="I139:I204" ca="1" si="14">DATEDIF(H139,TODAY(),"Y")</f>
        <v>18</v>
      </c>
      <c r="J139" s="8">
        <v>35000000</v>
      </c>
      <c r="K139" s="8">
        <v>38500000</v>
      </c>
      <c r="L139" s="8">
        <v>100000</v>
      </c>
      <c r="M139" s="8">
        <f>(Table2[[#This Row],[Salary/
Week]]*52)</f>
        <v>5200000</v>
      </c>
      <c r="N139" s="9">
        <v>45865</v>
      </c>
      <c r="O139" s="10">
        <v>49856</v>
      </c>
      <c r="P139" s="4">
        <f t="shared" ref="P139:P204" ca="1" si="15">DATEDIF(N139,TODAY(),"Y")</f>
        <v>1</v>
      </c>
      <c r="Q139" s="4">
        <f t="shared" ref="Q139:Q204" ca="1" si="16">DATEDIF(TODAY(),O139,"y")</f>
        <v>9</v>
      </c>
      <c r="R139" s="4">
        <f t="shared" ref="R139:R204" ca="1" si="17">DATEDIF(TODAY(),O139,"m")</f>
        <v>117</v>
      </c>
      <c r="S139" s="4"/>
      <c r="T139" s="4"/>
      <c r="U139" s="4"/>
      <c r="V139" s="4" t="s">
        <v>397</v>
      </c>
      <c r="W139" s="15" t="s">
        <v>494</v>
      </c>
      <c r="X139" s="4"/>
    </row>
    <row r="140" spans="1:24" x14ac:dyDescent="0.25">
      <c r="A140" s="1" t="s">
        <v>163</v>
      </c>
      <c r="B140" s="4"/>
      <c r="C140" s="5" t="s">
        <v>401</v>
      </c>
      <c r="D140" s="12">
        <v>26</v>
      </c>
      <c r="E140" s="2" t="s">
        <v>177</v>
      </c>
      <c r="F140" s="4" t="s">
        <v>29</v>
      </c>
      <c r="G140" s="4" t="s">
        <v>29</v>
      </c>
      <c r="H140" s="7">
        <v>36651</v>
      </c>
      <c r="I140" s="21">
        <f t="shared" ca="1" si="14"/>
        <v>26</v>
      </c>
      <c r="J140" s="8">
        <v>3000000</v>
      </c>
      <c r="K140" s="8">
        <v>12000000</v>
      </c>
      <c r="L140" s="8">
        <v>150000</v>
      </c>
      <c r="M140" s="8">
        <f>(Table2[[#This Row],[Salary/
Week]]*52)</f>
        <v>7800000</v>
      </c>
      <c r="N140" s="9">
        <v>45508</v>
      </c>
      <c r="O140" s="10">
        <v>46568</v>
      </c>
      <c r="P140" s="4">
        <f t="shared" ca="1" si="15"/>
        <v>2</v>
      </c>
      <c r="Q140" s="4">
        <f t="shared" ca="1" si="16"/>
        <v>0</v>
      </c>
      <c r="R140" s="4">
        <f t="shared" ca="1" si="17"/>
        <v>9</v>
      </c>
      <c r="S140" s="4"/>
      <c r="T140" s="4"/>
      <c r="U140" s="4"/>
      <c r="V140" s="4" t="s">
        <v>397</v>
      </c>
      <c r="W140" s="16" t="s">
        <v>509</v>
      </c>
      <c r="X140" s="4"/>
    </row>
    <row r="141" spans="1:24" x14ac:dyDescent="0.25">
      <c r="A141" s="1" t="s">
        <v>163</v>
      </c>
      <c r="B141" s="4"/>
      <c r="C141" s="5" t="s">
        <v>400</v>
      </c>
      <c r="D141" s="12">
        <v>18</v>
      </c>
      <c r="E141" s="2" t="s">
        <v>178</v>
      </c>
      <c r="F141" s="4" t="s">
        <v>29</v>
      </c>
      <c r="G141" s="4" t="s">
        <v>30</v>
      </c>
      <c r="H141" s="7">
        <v>39243</v>
      </c>
      <c r="I141" s="21">
        <f t="shared" ca="1" si="14"/>
        <v>19</v>
      </c>
      <c r="J141" s="8">
        <v>0</v>
      </c>
      <c r="K141" s="8">
        <v>65000000</v>
      </c>
      <c r="L141" s="8">
        <v>130000</v>
      </c>
      <c r="M141" s="8">
        <f>(Table2[[#This Row],[Salary/
Week]]*52)</f>
        <v>6760000</v>
      </c>
      <c r="N141" s="9">
        <v>45548</v>
      </c>
      <c r="O141" s="10">
        <v>48395</v>
      </c>
      <c r="P141" s="4">
        <f t="shared" ca="1" si="15"/>
        <v>1</v>
      </c>
      <c r="Q141" s="4">
        <f t="shared" ca="1" si="16"/>
        <v>5</v>
      </c>
      <c r="R141" s="4">
        <f t="shared" ca="1" si="17"/>
        <v>69</v>
      </c>
      <c r="S141" s="4"/>
      <c r="T141" s="4"/>
      <c r="U141" s="4"/>
      <c r="V141" s="4" t="s">
        <v>396</v>
      </c>
      <c r="W141" s="15" t="s">
        <v>510</v>
      </c>
      <c r="X141" s="4"/>
    </row>
    <row r="142" spans="1:24" x14ac:dyDescent="0.25">
      <c r="A142" s="1" t="s">
        <v>163</v>
      </c>
      <c r="B142" s="4"/>
      <c r="C142" s="5" t="s">
        <v>402</v>
      </c>
      <c r="D142" s="12">
        <v>13</v>
      </c>
      <c r="E142" s="2" t="s">
        <v>433</v>
      </c>
      <c r="F142" s="4" t="s">
        <v>29</v>
      </c>
      <c r="G142" s="4" t="s">
        <v>28</v>
      </c>
      <c r="H142" s="7">
        <v>38465</v>
      </c>
      <c r="I142" s="21">
        <f ca="1">DATEDIF(H142,TODAY(),"Y")</f>
        <v>21</v>
      </c>
      <c r="J142" s="8">
        <v>0</v>
      </c>
      <c r="K142" s="8">
        <v>0</v>
      </c>
      <c r="L142" s="8">
        <v>45000</v>
      </c>
      <c r="M142" s="8">
        <f>(Table2[[#This Row],[Salary/
Week]]*52)</f>
        <v>2340000</v>
      </c>
      <c r="N142" s="9">
        <v>46196</v>
      </c>
      <c r="O142" s="10">
        <v>48029</v>
      </c>
      <c r="P142" s="4">
        <f ca="1">DATEDIF(N142,TODAY(),"Y")</f>
        <v>0</v>
      </c>
      <c r="Q142" s="4">
        <f ca="1">DATEDIF(TODAY(),O142,"y")</f>
        <v>4</v>
      </c>
      <c r="R142" s="4">
        <f ca="1">DATEDIF(TODAY(),O142,"m")</f>
        <v>57</v>
      </c>
      <c r="S142" s="4"/>
      <c r="T142" s="4"/>
      <c r="U142" s="4"/>
      <c r="V142" s="4" t="s">
        <v>397</v>
      </c>
      <c r="W142" s="2" t="s">
        <v>466</v>
      </c>
      <c r="X142" s="4"/>
    </row>
    <row r="143" spans="1:24" x14ac:dyDescent="0.25">
      <c r="A143" s="1" t="s">
        <v>163</v>
      </c>
      <c r="B143" s="4"/>
      <c r="C143" s="5" t="s">
        <v>401</v>
      </c>
      <c r="D143" s="12">
        <v>8</v>
      </c>
      <c r="E143" s="2" t="s">
        <v>179</v>
      </c>
      <c r="F143" s="4" t="s">
        <v>30</v>
      </c>
      <c r="G143" s="4" t="s">
        <v>30</v>
      </c>
      <c r="H143" s="7">
        <v>37569</v>
      </c>
      <c r="I143" s="21">
        <f t="shared" ca="1" si="14"/>
        <v>23</v>
      </c>
      <c r="J143" s="8">
        <v>30000000</v>
      </c>
      <c r="K143" s="8">
        <v>50000000</v>
      </c>
      <c r="L143" s="8">
        <v>250000</v>
      </c>
      <c r="M143" s="8">
        <f>(Table2[[#This Row],[Salary/
Week]]*52)</f>
        <v>13000000</v>
      </c>
      <c r="N143" s="9">
        <v>45479</v>
      </c>
      <c r="O143" s="10">
        <v>47299</v>
      </c>
      <c r="P143" s="4">
        <f t="shared" ca="1" si="15"/>
        <v>2</v>
      </c>
      <c r="Q143" s="4">
        <f t="shared" ca="1" si="16"/>
        <v>2</v>
      </c>
      <c r="R143" s="4">
        <f t="shared" ca="1" si="17"/>
        <v>33</v>
      </c>
      <c r="S143" s="4"/>
      <c r="T143" s="4"/>
      <c r="U143" s="4"/>
      <c r="V143" s="4" t="s">
        <v>396</v>
      </c>
      <c r="W143" s="15" t="s">
        <v>511</v>
      </c>
      <c r="X143" s="4"/>
    </row>
    <row r="144" spans="1:24" x14ac:dyDescent="0.25">
      <c r="A144" s="1" t="s">
        <v>163</v>
      </c>
      <c r="B144" s="4"/>
      <c r="C144" s="5" t="s">
        <v>400</v>
      </c>
      <c r="D144" s="12">
        <v>20</v>
      </c>
      <c r="E144" s="2" t="s">
        <v>428</v>
      </c>
      <c r="F144" s="4" t="s">
        <v>30</v>
      </c>
      <c r="G144" s="4" t="s">
        <v>30</v>
      </c>
      <c r="H144" s="7">
        <v>39604</v>
      </c>
      <c r="I144" s="21">
        <f ca="1">DATEDIF(H144,TODAY(),"Y")</f>
        <v>18</v>
      </c>
      <c r="J144" s="8">
        <v>100000000</v>
      </c>
      <c r="K144" s="8">
        <v>80000000</v>
      </c>
      <c r="L144" s="8">
        <v>500000</v>
      </c>
      <c r="M144" s="8">
        <f>(Table2[[#This Row],[Salary/
Week]]*52)</f>
        <v>26000000</v>
      </c>
      <c r="N144" s="9">
        <v>46229</v>
      </c>
      <c r="O144" s="10">
        <v>49490</v>
      </c>
      <c r="P144" s="4">
        <f ca="1">DATEDIF(N144,TODAY(),"Y")</f>
        <v>0</v>
      </c>
      <c r="Q144" s="4">
        <f ca="1">DATEDIF(TODAY(),O144,"y")</f>
        <v>8</v>
      </c>
      <c r="R144" s="4">
        <f ca="1">DATEDIF(TODAY(),O144,"m")</f>
        <v>105</v>
      </c>
      <c r="S144" s="4"/>
      <c r="T144" s="4"/>
      <c r="U144" s="4"/>
      <c r="V144" s="4" t="s">
        <v>397</v>
      </c>
      <c r="W144" s="15" t="s">
        <v>512</v>
      </c>
      <c r="X144" s="4"/>
    </row>
    <row r="145" spans="1:24" x14ac:dyDescent="0.25">
      <c r="A145" s="1" t="s">
        <v>163</v>
      </c>
      <c r="B145" s="4"/>
      <c r="C145" s="5" t="s">
        <v>400</v>
      </c>
      <c r="D145" s="12">
        <v>7</v>
      </c>
      <c r="E145" s="2" t="s">
        <v>180</v>
      </c>
      <c r="F145" s="4" t="s">
        <v>35</v>
      </c>
      <c r="G145" s="4" t="s">
        <v>35</v>
      </c>
      <c r="H145" s="7">
        <v>36650</v>
      </c>
      <c r="I145" s="21">
        <f t="shared" ca="1" si="14"/>
        <v>26</v>
      </c>
      <c r="J145" s="8">
        <v>105000000</v>
      </c>
      <c r="K145" s="8">
        <v>90000000</v>
      </c>
      <c r="L145" s="8">
        <v>600000</v>
      </c>
      <c r="M145" s="8">
        <f>(Table2[[#This Row],[Salary/
Week]]*52)</f>
        <v>31200000</v>
      </c>
      <c r="N145" s="9">
        <v>45860</v>
      </c>
      <c r="O145" s="10">
        <v>49490</v>
      </c>
      <c r="P145" s="4">
        <f t="shared" ca="1" si="15"/>
        <v>1</v>
      </c>
      <c r="Q145" s="4">
        <f t="shared" ca="1" si="16"/>
        <v>8</v>
      </c>
      <c r="R145" s="4">
        <f t="shared" ca="1" si="17"/>
        <v>105</v>
      </c>
      <c r="S145" s="4"/>
      <c r="T145" s="4"/>
      <c r="U145" s="4"/>
      <c r="V145" s="4" t="s">
        <v>396</v>
      </c>
      <c r="W145" s="15" t="s">
        <v>513</v>
      </c>
      <c r="X145" s="4"/>
    </row>
    <row r="146" spans="1:24" x14ac:dyDescent="0.25">
      <c r="A146" s="1" t="s">
        <v>163</v>
      </c>
      <c r="B146" s="4"/>
      <c r="C146" s="5" t="s">
        <v>401</v>
      </c>
      <c r="D146" s="12">
        <v>21</v>
      </c>
      <c r="E146" s="2" t="s">
        <v>181</v>
      </c>
      <c r="F146" s="4" t="s">
        <v>35</v>
      </c>
      <c r="G146" s="4" t="s">
        <v>32</v>
      </c>
      <c r="H146" s="7">
        <v>35540</v>
      </c>
      <c r="I146" s="21">
        <f t="shared" ca="1" si="14"/>
        <v>29</v>
      </c>
      <c r="J146" s="8">
        <v>60000000</v>
      </c>
      <c r="K146" s="8">
        <v>35000000</v>
      </c>
      <c r="L146" s="8">
        <v>180000</v>
      </c>
      <c r="M146" s="8">
        <f>(Table2[[#This Row],[Salary/
Week]]*52)</f>
        <v>9360000</v>
      </c>
      <c r="N146" s="9">
        <v>45162</v>
      </c>
      <c r="O146" s="10">
        <v>46568</v>
      </c>
      <c r="P146" s="4">
        <f t="shared" ca="1" si="15"/>
        <v>3</v>
      </c>
      <c r="Q146" s="4">
        <f t="shared" ca="1" si="16"/>
        <v>0</v>
      </c>
      <c r="R146" s="4">
        <f t="shared" ca="1" si="17"/>
        <v>9</v>
      </c>
      <c r="S146" s="4"/>
      <c r="T146" s="4"/>
      <c r="U146" s="4"/>
      <c r="V146" s="4" t="s">
        <v>396</v>
      </c>
      <c r="W146" s="15" t="s">
        <v>514</v>
      </c>
      <c r="X146" s="4"/>
    </row>
    <row r="147" spans="1:24" x14ac:dyDescent="0.25">
      <c r="A147" s="1" t="s">
        <v>163</v>
      </c>
      <c r="B147" s="4"/>
      <c r="C147" s="5" t="s">
        <v>401</v>
      </c>
      <c r="D147" s="12">
        <v>23</v>
      </c>
      <c r="E147" s="2" t="s">
        <v>182</v>
      </c>
      <c r="F147" s="4" t="s">
        <v>31</v>
      </c>
      <c r="G147" s="4" t="s">
        <v>31</v>
      </c>
      <c r="H147" s="7">
        <v>37636</v>
      </c>
      <c r="I147" s="21">
        <f t="shared" ca="1" si="14"/>
        <v>23</v>
      </c>
      <c r="J147" s="8">
        <v>0</v>
      </c>
      <c r="K147" s="8">
        <v>15000000</v>
      </c>
      <c r="L147" s="8">
        <v>85000</v>
      </c>
      <c r="M147" s="8">
        <f>(Table2[[#This Row],[Salary/
Week]]*52)</f>
        <v>4420000</v>
      </c>
      <c r="N147" s="9">
        <v>45090</v>
      </c>
      <c r="O147" s="10">
        <v>47299</v>
      </c>
      <c r="P147" s="4">
        <f t="shared" ca="1" si="15"/>
        <v>3</v>
      </c>
      <c r="Q147" s="4">
        <f t="shared" ca="1" si="16"/>
        <v>2</v>
      </c>
      <c r="R147" s="4">
        <f t="shared" ca="1" si="17"/>
        <v>33</v>
      </c>
      <c r="S147" s="4"/>
      <c r="T147" s="4"/>
      <c r="U147" s="4"/>
      <c r="V147" s="4" t="s">
        <v>397</v>
      </c>
      <c r="W147" s="15" t="s">
        <v>515</v>
      </c>
      <c r="X147" s="4"/>
    </row>
    <row r="148" spans="1:24" x14ac:dyDescent="0.25">
      <c r="A148" s="1" t="s">
        <v>163</v>
      </c>
      <c r="B148" s="4"/>
      <c r="C148" s="5" t="s">
        <v>400</v>
      </c>
      <c r="D148" s="12">
        <v>9</v>
      </c>
      <c r="E148" s="2" t="s">
        <v>183</v>
      </c>
      <c r="F148" s="4" t="s">
        <v>31</v>
      </c>
      <c r="G148" s="4" t="s">
        <v>31</v>
      </c>
      <c r="H148" s="7">
        <v>36364</v>
      </c>
      <c r="I148" s="21">
        <f t="shared" ca="1" si="14"/>
        <v>27</v>
      </c>
      <c r="J148" s="8">
        <v>65000000</v>
      </c>
      <c r="K148" s="8">
        <v>150000000</v>
      </c>
      <c r="L148" s="8">
        <v>500000</v>
      </c>
      <c r="M148" s="8">
        <f>(Table2[[#This Row],[Salary/
Week]]*52)</f>
        <v>26000000</v>
      </c>
      <c r="N148" s="9">
        <v>45140</v>
      </c>
      <c r="O148" s="10">
        <v>48760</v>
      </c>
      <c r="P148" s="4">
        <f t="shared" ca="1" si="15"/>
        <v>3</v>
      </c>
      <c r="Q148" s="4">
        <f t="shared" ca="1" si="16"/>
        <v>6</v>
      </c>
      <c r="R148" s="4">
        <f t="shared" ca="1" si="17"/>
        <v>81</v>
      </c>
      <c r="S148" s="4"/>
      <c r="T148" s="4"/>
      <c r="U148" s="4"/>
      <c r="V148" s="4" t="s">
        <v>397</v>
      </c>
      <c r="W148" s="16" t="s">
        <v>516</v>
      </c>
      <c r="X148" s="4"/>
    </row>
    <row r="149" spans="1:24" x14ac:dyDescent="0.25">
      <c r="A149" s="1" t="s">
        <v>163</v>
      </c>
      <c r="B149" s="4" t="s">
        <v>57</v>
      </c>
      <c r="C149" s="5" t="s">
        <v>400</v>
      </c>
      <c r="D149" s="12">
        <v>10</v>
      </c>
      <c r="E149" s="2" t="s">
        <v>184</v>
      </c>
      <c r="F149" s="4" t="s">
        <v>32</v>
      </c>
      <c r="G149" s="4" t="s">
        <v>35</v>
      </c>
      <c r="H149" s="7">
        <v>37628</v>
      </c>
      <c r="I149" s="21">
        <f t="shared" ca="1" si="14"/>
        <v>23</v>
      </c>
      <c r="J149" s="8">
        <v>250000000</v>
      </c>
      <c r="K149" s="8">
        <v>220000000</v>
      </c>
      <c r="L149" s="8">
        <v>5000000</v>
      </c>
      <c r="M149" s="8">
        <f>(Table2[[#This Row],[Salary/
Week]]*52)</f>
        <v>260000000</v>
      </c>
      <c r="N149" s="9">
        <v>44934</v>
      </c>
      <c r="O149" s="10">
        <v>48395</v>
      </c>
      <c r="P149" s="4">
        <f t="shared" ca="1" si="15"/>
        <v>3</v>
      </c>
      <c r="Q149" s="4">
        <f t="shared" ca="1" si="16"/>
        <v>5</v>
      </c>
      <c r="R149" s="4">
        <f t="shared" ca="1" si="17"/>
        <v>69</v>
      </c>
      <c r="S149" s="4"/>
      <c r="T149" s="4"/>
      <c r="U149" s="4"/>
      <c r="V149" s="4" t="s">
        <v>398</v>
      </c>
      <c r="W149" s="16" t="s">
        <v>517</v>
      </c>
      <c r="X149" s="4"/>
    </row>
    <row r="150" spans="1:24" x14ac:dyDescent="0.25">
      <c r="A150" s="1" t="s">
        <v>163</v>
      </c>
      <c r="B150" s="4"/>
      <c r="C150" s="5" t="s">
        <v>401</v>
      </c>
      <c r="D150" s="12">
        <v>11</v>
      </c>
      <c r="E150" s="2" t="s">
        <v>185</v>
      </c>
      <c r="F150" s="4" t="s">
        <v>32</v>
      </c>
      <c r="G150" s="4" t="s">
        <v>35</v>
      </c>
      <c r="H150" s="7">
        <v>35947</v>
      </c>
      <c r="I150" s="21">
        <f t="shared" ca="1" si="14"/>
        <v>28</v>
      </c>
      <c r="J150" s="8">
        <v>10000000</v>
      </c>
      <c r="K150" s="8">
        <v>55000000</v>
      </c>
      <c r="L150" s="8">
        <v>400000</v>
      </c>
      <c r="M150" s="8">
        <f>(Table2[[#This Row],[Salary/
Week]]*52)</f>
        <v>20800000</v>
      </c>
      <c r="N150" s="9">
        <v>45174</v>
      </c>
      <c r="O150" s="10">
        <v>46934</v>
      </c>
      <c r="P150" s="4">
        <f t="shared" ca="1" si="15"/>
        <v>3</v>
      </c>
      <c r="Q150" s="4">
        <f t="shared" ca="1" si="16"/>
        <v>1</v>
      </c>
      <c r="R150" s="4">
        <f t="shared" ca="1" si="17"/>
        <v>21</v>
      </c>
      <c r="S150" s="4"/>
      <c r="T150" s="4"/>
      <c r="U150" s="4"/>
      <c r="V150" s="4" t="s">
        <v>396</v>
      </c>
      <c r="W150" s="16" t="s">
        <v>482</v>
      </c>
      <c r="X150" s="4"/>
    </row>
    <row r="151" spans="1:24" x14ac:dyDescent="0.25">
      <c r="A151" s="1" t="s">
        <v>186</v>
      </c>
      <c r="B151" s="4"/>
      <c r="C151" s="5" t="s">
        <v>400</v>
      </c>
      <c r="D151" s="12">
        <v>1</v>
      </c>
      <c r="E151" s="2" t="s">
        <v>187</v>
      </c>
      <c r="F151" s="4" t="s">
        <v>23</v>
      </c>
      <c r="G151" s="4" t="s">
        <v>23</v>
      </c>
      <c r="H151" s="7">
        <v>34779</v>
      </c>
      <c r="I151" s="21">
        <f t="shared" ca="1" si="14"/>
        <v>31</v>
      </c>
      <c r="J151" s="8">
        <v>0</v>
      </c>
      <c r="K151" s="8">
        <v>10000000</v>
      </c>
      <c r="L151" s="8">
        <v>88000</v>
      </c>
      <c r="M151" s="8">
        <f>(Table2[[#This Row],[Salary/
Week]]*52)</f>
        <v>4576000</v>
      </c>
      <c r="N151" s="9">
        <v>45084</v>
      </c>
      <c r="O151" s="10">
        <v>46568</v>
      </c>
      <c r="P151" s="4">
        <f t="shared" ca="1" si="15"/>
        <v>3</v>
      </c>
      <c r="Q151" s="4">
        <f t="shared" ca="1" si="16"/>
        <v>0</v>
      </c>
      <c r="R151" s="4">
        <f t="shared" ca="1" si="17"/>
        <v>9</v>
      </c>
      <c r="S151" s="4"/>
      <c r="T151" s="4"/>
      <c r="U151" s="4"/>
      <c r="V151" s="4" t="s">
        <v>396</v>
      </c>
      <c r="W151" s="2"/>
      <c r="X151" s="4"/>
    </row>
    <row r="152" spans="1:24" x14ac:dyDescent="0.25">
      <c r="A152" s="1" t="s">
        <v>186</v>
      </c>
      <c r="B152" s="4"/>
      <c r="C152" s="5" t="s">
        <v>401</v>
      </c>
      <c r="D152" s="12">
        <v>31</v>
      </c>
      <c r="E152" s="2" t="s">
        <v>188</v>
      </c>
      <c r="F152" s="4" t="s">
        <v>23</v>
      </c>
      <c r="G152" s="4" t="s">
        <v>23</v>
      </c>
      <c r="H152" s="7">
        <v>36153</v>
      </c>
      <c r="I152" s="21">
        <f t="shared" ca="1" si="14"/>
        <v>27</v>
      </c>
      <c r="J152" s="8">
        <v>0</v>
      </c>
      <c r="K152" s="8">
        <v>0</v>
      </c>
      <c r="L152" s="8">
        <v>43000</v>
      </c>
      <c r="M152" s="8">
        <f>(Table2[[#This Row],[Salary/
Week]]*52)</f>
        <v>2236000</v>
      </c>
      <c r="N152" s="9">
        <v>45098</v>
      </c>
      <c r="O152" s="10">
        <v>46934</v>
      </c>
      <c r="P152" s="4">
        <f t="shared" ca="1" si="15"/>
        <v>3</v>
      </c>
      <c r="Q152" s="4">
        <f t="shared" ca="1" si="16"/>
        <v>1</v>
      </c>
      <c r="R152" s="4">
        <f t="shared" ca="1" si="17"/>
        <v>21</v>
      </c>
      <c r="S152" s="4"/>
      <c r="T152" s="4"/>
      <c r="U152" s="4"/>
      <c r="V152" s="4" t="s">
        <v>396</v>
      </c>
      <c r="W152" s="2"/>
      <c r="X152" s="4"/>
    </row>
    <row r="153" spans="1:24" x14ac:dyDescent="0.25">
      <c r="A153" s="1" t="s">
        <v>186</v>
      </c>
      <c r="B153" s="4"/>
      <c r="C153" s="5" t="s">
        <v>401</v>
      </c>
      <c r="D153" s="12">
        <v>89</v>
      </c>
      <c r="E153" s="2" t="s">
        <v>189</v>
      </c>
      <c r="F153" s="4" t="s">
        <v>23</v>
      </c>
      <c r="G153" s="4" t="s">
        <v>23</v>
      </c>
      <c r="H153" s="7">
        <v>38792</v>
      </c>
      <c r="I153" s="21">
        <f t="shared" ca="1" si="14"/>
        <v>20</v>
      </c>
      <c r="J153" s="8">
        <v>0</v>
      </c>
      <c r="K153" s="8">
        <v>0</v>
      </c>
      <c r="L153" s="8">
        <v>21000</v>
      </c>
      <c r="M153" s="8">
        <f>(Table2[[#This Row],[Salary/
Week]]*52)</f>
        <v>1092000</v>
      </c>
      <c r="N153" s="9">
        <v>44579</v>
      </c>
      <c r="O153" s="10">
        <v>46934</v>
      </c>
      <c r="P153" s="4">
        <f t="shared" ca="1" si="15"/>
        <v>4</v>
      </c>
      <c r="Q153" s="4">
        <f t="shared" ca="1" si="16"/>
        <v>1</v>
      </c>
      <c r="R153" s="4">
        <f t="shared" ca="1" si="17"/>
        <v>21</v>
      </c>
      <c r="S153" s="4"/>
      <c r="T153" s="4"/>
      <c r="U153" s="4"/>
      <c r="V153" s="4" t="s">
        <v>397</v>
      </c>
      <c r="W153" s="2"/>
      <c r="X153" s="4"/>
    </row>
    <row r="154" spans="1:24" x14ac:dyDescent="0.25">
      <c r="A154" s="1" t="s">
        <v>186</v>
      </c>
      <c r="B154" s="4"/>
      <c r="C154" s="5" t="s">
        <v>400</v>
      </c>
      <c r="D154" s="12">
        <v>33</v>
      </c>
      <c r="E154" s="2" t="s">
        <v>190</v>
      </c>
      <c r="F154" s="4" t="s">
        <v>37</v>
      </c>
      <c r="G154" s="4" t="s">
        <v>33</v>
      </c>
      <c r="H154" s="7">
        <v>36942</v>
      </c>
      <c r="I154" s="21">
        <f t="shared" ca="1" si="14"/>
        <v>25</v>
      </c>
      <c r="J154" s="8">
        <v>0</v>
      </c>
      <c r="K154" s="8">
        <v>0</v>
      </c>
      <c r="L154" s="8">
        <v>80000</v>
      </c>
      <c r="M154" s="8">
        <f>(Table2[[#This Row],[Salary/
Week]]*52)</f>
        <v>4160000</v>
      </c>
      <c r="N154" s="9">
        <v>44585</v>
      </c>
      <c r="O154" s="10">
        <v>47664</v>
      </c>
      <c r="P154" s="4">
        <f t="shared" ca="1" si="15"/>
        <v>4</v>
      </c>
      <c r="Q154" s="4">
        <f t="shared" ca="1" si="16"/>
        <v>3</v>
      </c>
      <c r="R154" s="4">
        <f t="shared" ca="1" si="17"/>
        <v>45</v>
      </c>
      <c r="S154" s="4"/>
      <c r="T154" s="4"/>
      <c r="U154" s="4"/>
      <c r="V154" s="4" t="s">
        <v>396</v>
      </c>
      <c r="W154" s="2"/>
      <c r="X154" s="4"/>
    </row>
    <row r="155" spans="1:24" x14ac:dyDescent="0.25">
      <c r="A155" s="1" t="s">
        <v>186</v>
      </c>
      <c r="B155" s="4"/>
      <c r="C155" s="5" t="s">
        <v>401</v>
      </c>
      <c r="D155" s="12">
        <v>3</v>
      </c>
      <c r="E155" s="2" t="s">
        <v>191</v>
      </c>
      <c r="F155" s="4" t="s">
        <v>37</v>
      </c>
      <c r="G155" s="4" t="s">
        <v>33</v>
      </c>
      <c r="H155" s="7">
        <v>34662</v>
      </c>
      <c r="I155" s="21">
        <f t="shared" ca="1" si="14"/>
        <v>31</v>
      </c>
      <c r="J155" s="8">
        <v>200000</v>
      </c>
      <c r="K155" s="8">
        <v>0</v>
      </c>
      <c r="L155" s="8">
        <v>64320</v>
      </c>
      <c r="M155" s="8">
        <f>(Table2[[#This Row],[Salary/
Week]]*52)</f>
        <v>3344640</v>
      </c>
      <c r="N155" s="9">
        <v>44724</v>
      </c>
      <c r="O155" s="10">
        <v>46934</v>
      </c>
      <c r="P155" s="4">
        <f t="shared" ca="1" si="15"/>
        <v>4</v>
      </c>
      <c r="Q155" s="4">
        <f t="shared" ca="1" si="16"/>
        <v>1</v>
      </c>
      <c r="R155" s="4">
        <f t="shared" ca="1" si="17"/>
        <v>21</v>
      </c>
      <c r="S155" s="4"/>
      <c r="T155" s="4"/>
      <c r="U155" s="4"/>
      <c r="V155" s="4" t="s">
        <v>396</v>
      </c>
      <c r="W155" s="2"/>
      <c r="X155" s="4"/>
    </row>
    <row r="156" spans="1:24" x14ac:dyDescent="0.25">
      <c r="A156" s="1" t="s">
        <v>186</v>
      </c>
      <c r="B156" s="4" t="s">
        <v>47</v>
      </c>
      <c r="C156" s="5" t="s">
        <v>400</v>
      </c>
      <c r="D156" s="12">
        <v>16</v>
      </c>
      <c r="E156" s="2" t="s">
        <v>193</v>
      </c>
      <c r="F156" s="4" t="s">
        <v>26</v>
      </c>
      <c r="G156" s="4" t="s">
        <v>26</v>
      </c>
      <c r="H156" s="7">
        <v>35324</v>
      </c>
      <c r="I156" s="21">
        <f t="shared" ca="1" si="14"/>
        <v>29</v>
      </c>
      <c r="J156" s="8">
        <v>0</v>
      </c>
      <c r="K156" s="8">
        <v>0</v>
      </c>
      <c r="L156" s="8">
        <v>100000</v>
      </c>
      <c r="M156" s="8">
        <f>(Table2[[#This Row],[Salary/
Week]]*52)</f>
        <v>5200000</v>
      </c>
      <c r="N156" s="9">
        <v>45155</v>
      </c>
      <c r="O156" s="10">
        <v>46568</v>
      </c>
      <c r="P156" s="4">
        <f t="shared" ca="1" si="15"/>
        <v>3</v>
      </c>
      <c r="Q156" s="4">
        <f t="shared" ca="1" si="16"/>
        <v>0</v>
      </c>
      <c r="R156" s="4">
        <f t="shared" ca="1" si="17"/>
        <v>9</v>
      </c>
      <c r="S156" s="4"/>
      <c r="T156" s="4"/>
      <c r="U156" s="4"/>
      <c r="V156" s="4" t="s">
        <v>396</v>
      </c>
      <c r="W156" s="2"/>
      <c r="X156" s="4"/>
    </row>
    <row r="157" spans="1:24" x14ac:dyDescent="0.25">
      <c r="A157" s="1" t="s">
        <v>186</v>
      </c>
      <c r="B157" s="4"/>
      <c r="C157" s="5" t="s">
        <v>401</v>
      </c>
      <c r="D157" s="12">
        <v>5</v>
      </c>
      <c r="E157" s="2" t="s">
        <v>194</v>
      </c>
      <c r="F157" s="4" t="s">
        <v>26</v>
      </c>
      <c r="G157" s="4" t="s">
        <v>26</v>
      </c>
      <c r="H157" s="7">
        <v>35969</v>
      </c>
      <c r="I157" s="21">
        <f t="shared" ca="1" si="14"/>
        <v>28</v>
      </c>
      <c r="J157" s="8">
        <v>0</v>
      </c>
      <c r="K157" s="8">
        <v>8000000</v>
      </c>
      <c r="L157" s="8">
        <v>100000</v>
      </c>
      <c r="M157" s="8">
        <f>(Table2[[#This Row],[Salary/
Week]]*52)</f>
        <v>5200000</v>
      </c>
      <c r="N157" s="9">
        <v>44588</v>
      </c>
      <c r="O157" s="10">
        <v>46568</v>
      </c>
      <c r="P157" s="4">
        <f t="shared" ca="1" si="15"/>
        <v>4</v>
      </c>
      <c r="Q157" s="4">
        <f t="shared" ca="1" si="16"/>
        <v>0</v>
      </c>
      <c r="R157" s="4">
        <f t="shared" ca="1" si="17"/>
        <v>9</v>
      </c>
      <c r="S157" s="4"/>
      <c r="T157" s="4"/>
      <c r="U157" s="4"/>
      <c r="V157" s="4" t="s">
        <v>397</v>
      </c>
      <c r="W157" s="2"/>
      <c r="X157" s="4"/>
    </row>
    <row r="158" spans="1:24" x14ac:dyDescent="0.25">
      <c r="A158" s="1" t="s">
        <v>186</v>
      </c>
      <c r="B158" s="4"/>
      <c r="C158" s="5" t="s">
        <v>400</v>
      </c>
      <c r="D158" s="12">
        <v>4</v>
      </c>
      <c r="E158" s="2" t="s">
        <v>195</v>
      </c>
      <c r="F158" s="4" t="s">
        <v>26</v>
      </c>
      <c r="G158" s="4" t="s">
        <v>26</v>
      </c>
      <c r="H158" s="7">
        <v>34450</v>
      </c>
      <c r="I158" s="21">
        <f t="shared" ca="1" si="14"/>
        <v>32</v>
      </c>
      <c r="J158" s="8">
        <v>0</v>
      </c>
      <c r="K158" s="8">
        <v>0</v>
      </c>
      <c r="L158" s="8">
        <v>13000</v>
      </c>
      <c r="M158" s="8">
        <f>(Table2[[#This Row],[Salary/
Week]]*52)</f>
        <v>676000</v>
      </c>
      <c r="N158" s="9">
        <v>44563</v>
      </c>
      <c r="O158" s="10">
        <v>46568</v>
      </c>
      <c r="P158" s="4">
        <f t="shared" ca="1" si="15"/>
        <v>4</v>
      </c>
      <c r="Q158" s="4">
        <f t="shared" ca="1" si="16"/>
        <v>0</v>
      </c>
      <c r="R158" s="4">
        <f t="shared" ca="1" si="17"/>
        <v>9</v>
      </c>
      <c r="S158" s="4"/>
      <c r="T158" s="4"/>
      <c r="U158" s="4"/>
      <c r="V158" s="4" t="s">
        <v>397</v>
      </c>
      <c r="W158" s="2"/>
      <c r="X158" s="4"/>
    </row>
    <row r="159" spans="1:24" x14ac:dyDescent="0.25">
      <c r="A159" s="1" t="s">
        <v>186</v>
      </c>
      <c r="B159" s="4"/>
      <c r="C159" s="5" t="s">
        <v>400</v>
      </c>
      <c r="D159" s="12">
        <v>2</v>
      </c>
      <c r="E159" s="2" t="s">
        <v>196</v>
      </c>
      <c r="F159" s="4" t="s">
        <v>26</v>
      </c>
      <c r="G159" s="4" t="s">
        <v>26</v>
      </c>
      <c r="H159" s="7">
        <v>36141</v>
      </c>
      <c r="I159" s="21">
        <f t="shared" ca="1" si="14"/>
        <v>27</v>
      </c>
      <c r="J159" s="8">
        <v>15000000</v>
      </c>
      <c r="K159" s="8">
        <v>15000000</v>
      </c>
      <c r="L159" s="8">
        <v>90000</v>
      </c>
      <c r="M159" s="8">
        <f>(Table2[[#This Row],[Salary/
Week]]*52)</f>
        <v>4680000</v>
      </c>
      <c r="N159" s="9">
        <v>45115</v>
      </c>
      <c r="O159" s="10">
        <v>48029</v>
      </c>
      <c r="P159" s="4">
        <f t="shared" ca="1" si="15"/>
        <v>3</v>
      </c>
      <c r="Q159" s="4">
        <f t="shared" ca="1" si="16"/>
        <v>4</v>
      </c>
      <c r="R159" s="4">
        <f t="shared" ca="1" si="17"/>
        <v>57</v>
      </c>
      <c r="S159" s="4"/>
      <c r="T159" s="4"/>
      <c r="U159" s="4"/>
      <c r="V159" s="4" t="s">
        <v>397</v>
      </c>
      <c r="W159" s="2"/>
      <c r="X159" s="4"/>
    </row>
    <row r="160" spans="1:24" x14ac:dyDescent="0.25">
      <c r="A160" s="1" t="s">
        <v>186</v>
      </c>
      <c r="B160" s="4"/>
      <c r="C160" s="5" t="s">
        <v>400</v>
      </c>
      <c r="D160" s="12">
        <v>6</v>
      </c>
      <c r="E160" s="2" t="s">
        <v>197</v>
      </c>
      <c r="F160" s="4" t="s">
        <v>38</v>
      </c>
      <c r="G160" s="4" t="s">
        <v>36</v>
      </c>
      <c r="H160" s="7">
        <v>37271</v>
      </c>
      <c r="I160" s="21">
        <f t="shared" ca="1" si="14"/>
        <v>24</v>
      </c>
      <c r="J160" s="8">
        <v>2000000</v>
      </c>
      <c r="K160" s="8">
        <v>12000000</v>
      </c>
      <c r="L160" s="8">
        <v>85000</v>
      </c>
      <c r="M160" s="8">
        <f>(Table2[[#This Row],[Salary/
Week]]*52)</f>
        <v>4420000</v>
      </c>
      <c r="N160" s="9">
        <v>45499</v>
      </c>
      <c r="O160" s="10">
        <v>46934</v>
      </c>
      <c r="P160" s="4">
        <f t="shared" ca="1" si="15"/>
        <v>2</v>
      </c>
      <c r="Q160" s="4">
        <f t="shared" ca="1" si="16"/>
        <v>1</v>
      </c>
      <c r="R160" s="4">
        <f t="shared" ca="1" si="17"/>
        <v>21</v>
      </c>
      <c r="S160" s="4"/>
      <c r="T160" s="4"/>
      <c r="U160" s="4"/>
      <c r="V160" s="4" t="s">
        <v>397</v>
      </c>
      <c r="W160" s="2"/>
      <c r="X160" s="4"/>
    </row>
    <row r="161" spans="1:24" x14ac:dyDescent="0.25">
      <c r="A161" s="1" t="s">
        <v>186</v>
      </c>
      <c r="B161" s="4"/>
      <c r="C161" s="5" t="s">
        <v>401</v>
      </c>
      <c r="D161" s="12">
        <v>13</v>
      </c>
      <c r="E161" s="2" t="s">
        <v>198</v>
      </c>
      <c r="F161" s="4" t="s">
        <v>38</v>
      </c>
      <c r="G161" s="4" t="s">
        <v>36</v>
      </c>
      <c r="H161" s="7">
        <v>36707</v>
      </c>
      <c r="I161" s="21">
        <f t="shared" ca="1" si="14"/>
        <v>26</v>
      </c>
      <c r="J161" s="8">
        <v>20000000</v>
      </c>
      <c r="K161" s="8">
        <v>20000000</v>
      </c>
      <c r="L161" s="8">
        <v>28000</v>
      </c>
      <c r="M161" s="8">
        <f>(Table2[[#This Row],[Salary/
Week]]*52)</f>
        <v>1456000</v>
      </c>
      <c r="N161" s="9">
        <v>45145</v>
      </c>
      <c r="O161" s="10">
        <v>47299</v>
      </c>
      <c r="P161" s="4">
        <f t="shared" ca="1" si="15"/>
        <v>3</v>
      </c>
      <c r="Q161" s="4">
        <f t="shared" ca="1" si="16"/>
        <v>2</v>
      </c>
      <c r="R161" s="4">
        <f t="shared" ca="1" si="17"/>
        <v>33</v>
      </c>
      <c r="S161" s="4"/>
      <c r="T161" s="4"/>
      <c r="U161" s="4"/>
      <c r="V161" s="4" t="s">
        <v>397</v>
      </c>
      <c r="W161" s="2"/>
      <c r="X161" s="4"/>
    </row>
    <row r="162" spans="1:24" x14ac:dyDescent="0.25">
      <c r="A162" s="1" t="s">
        <v>186</v>
      </c>
      <c r="B162" s="4"/>
      <c r="C162" s="5" t="s">
        <v>400</v>
      </c>
      <c r="D162" s="12">
        <v>6</v>
      </c>
      <c r="E162" s="2" t="s">
        <v>52</v>
      </c>
      <c r="F162" s="4" t="s">
        <v>28</v>
      </c>
      <c r="G162" s="4" t="s">
        <v>29</v>
      </c>
      <c r="H162" s="7">
        <v>38368</v>
      </c>
      <c r="I162" s="21">
        <f ca="1">DATEDIF(H162,TODAY(),"Y")</f>
        <v>21</v>
      </c>
      <c r="J162" s="8" t="s">
        <v>572</v>
      </c>
      <c r="K162" s="8">
        <v>45000000</v>
      </c>
      <c r="L162" s="8">
        <v>100000</v>
      </c>
      <c r="M162" s="8">
        <f>(Table2[[#This Row],[Salary/
Week]]*52)</f>
        <v>5200000</v>
      </c>
      <c r="N162" s="9">
        <v>46260</v>
      </c>
      <c r="O162" s="10">
        <v>46568</v>
      </c>
      <c r="P162" s="4">
        <f ca="1">DATEDIF(N162,TODAY(),"Y")</f>
        <v>0</v>
      </c>
      <c r="Q162" s="4">
        <f ca="1">DATEDIF(TODAY(),O162,"y")</f>
        <v>0</v>
      </c>
      <c r="R162" s="4">
        <f ca="1">DATEDIF(TODAY(),O162,"m")</f>
        <v>9</v>
      </c>
      <c r="S162" s="4"/>
      <c r="T162" s="4"/>
      <c r="U162" s="4"/>
      <c r="V162" s="4" t="s">
        <v>398</v>
      </c>
      <c r="W162" s="14" t="s">
        <v>469</v>
      </c>
      <c r="X162" s="4"/>
    </row>
    <row r="163" spans="1:24" x14ac:dyDescent="0.25">
      <c r="A163" s="1" t="s">
        <v>186</v>
      </c>
      <c r="B163" s="4"/>
      <c r="C163" s="5" t="s">
        <v>400</v>
      </c>
      <c r="D163" s="12">
        <v>47</v>
      </c>
      <c r="E163" s="2" t="s">
        <v>199</v>
      </c>
      <c r="F163" s="4" t="s">
        <v>29</v>
      </c>
      <c r="G163" s="4" t="s">
        <v>28</v>
      </c>
      <c r="H163" s="7">
        <v>33634</v>
      </c>
      <c r="I163" s="21">
        <f t="shared" ca="1" si="14"/>
        <v>34</v>
      </c>
      <c r="J163" s="8">
        <v>0</v>
      </c>
      <c r="K163" s="8">
        <v>0</v>
      </c>
      <c r="L163" s="8">
        <v>185000</v>
      </c>
      <c r="M163" s="8">
        <f>(Table2[[#This Row],[Salary/
Week]]*52)</f>
        <v>9620000</v>
      </c>
      <c r="N163" s="9">
        <v>45465</v>
      </c>
      <c r="O163" s="10">
        <v>46568</v>
      </c>
      <c r="P163" s="4">
        <f t="shared" ca="1" si="15"/>
        <v>2</v>
      </c>
      <c r="Q163" s="4">
        <f t="shared" ca="1" si="16"/>
        <v>0</v>
      </c>
      <c r="R163" s="4">
        <f t="shared" ca="1" si="17"/>
        <v>9</v>
      </c>
      <c r="S163" s="4"/>
      <c r="T163" s="4"/>
      <c r="U163" s="4"/>
      <c r="V163" s="4" t="s">
        <v>397</v>
      </c>
      <c r="W163" s="2"/>
      <c r="X163" s="4"/>
    </row>
    <row r="164" spans="1:24" x14ac:dyDescent="0.25">
      <c r="A164" s="1" t="s">
        <v>186</v>
      </c>
      <c r="B164" s="4"/>
      <c r="C164" s="5" t="s">
        <v>401</v>
      </c>
      <c r="D164" s="12">
        <v>35</v>
      </c>
      <c r="E164" s="2" t="s">
        <v>200</v>
      </c>
      <c r="F164" s="4" t="s">
        <v>29</v>
      </c>
      <c r="G164" s="4" t="s">
        <v>28</v>
      </c>
      <c r="H164" s="7">
        <v>37555</v>
      </c>
      <c r="I164" s="21">
        <f t="shared" ca="1" si="14"/>
        <v>23</v>
      </c>
      <c r="J164" s="8">
        <v>0</v>
      </c>
      <c r="K164" s="8">
        <v>5000000</v>
      </c>
      <c r="L164" s="8">
        <v>65000</v>
      </c>
      <c r="M164" s="8">
        <f>(Table2[[#This Row],[Salary/
Week]]*52)</f>
        <v>3380000</v>
      </c>
      <c r="N164" s="9">
        <v>45473</v>
      </c>
      <c r="O164" s="10">
        <v>46568</v>
      </c>
      <c r="P164" s="4">
        <f t="shared" ca="1" si="15"/>
        <v>2</v>
      </c>
      <c r="Q164" s="4">
        <f t="shared" ca="1" si="16"/>
        <v>0</v>
      </c>
      <c r="R164" s="4">
        <f t="shared" ca="1" si="17"/>
        <v>9</v>
      </c>
      <c r="S164" s="4"/>
      <c r="T164" s="4"/>
      <c r="U164" s="4"/>
      <c r="V164" s="4" t="s">
        <v>397</v>
      </c>
      <c r="W164" s="2"/>
      <c r="X164" s="4"/>
    </row>
    <row r="165" spans="1:24" x14ac:dyDescent="0.25">
      <c r="A165" s="1" t="s">
        <v>186</v>
      </c>
      <c r="B165" s="4"/>
      <c r="C165" s="5" t="s">
        <v>401</v>
      </c>
      <c r="D165" s="12">
        <v>14</v>
      </c>
      <c r="E165" s="2" t="s">
        <v>201</v>
      </c>
      <c r="F165" s="4" t="s">
        <v>29</v>
      </c>
      <c r="G165" s="4" t="s">
        <v>28</v>
      </c>
      <c r="H165" s="7">
        <v>37757</v>
      </c>
      <c r="I165" s="21">
        <f t="shared" ca="1" si="14"/>
        <v>23</v>
      </c>
      <c r="J165" s="8">
        <v>18000000</v>
      </c>
      <c r="K165" s="8">
        <v>18000000</v>
      </c>
      <c r="L165" s="8">
        <v>65000</v>
      </c>
      <c r="M165" s="8">
        <f>(Table2[[#This Row],[Salary/
Week]]*52)</f>
        <v>3380000</v>
      </c>
      <c r="N165" s="9">
        <v>44715</v>
      </c>
      <c r="O165" s="10">
        <v>47299</v>
      </c>
      <c r="P165" s="4">
        <f t="shared" ca="1" si="15"/>
        <v>4</v>
      </c>
      <c r="Q165" s="4">
        <f t="shared" ca="1" si="16"/>
        <v>2</v>
      </c>
      <c r="R165" s="4">
        <f t="shared" ca="1" si="17"/>
        <v>33</v>
      </c>
      <c r="S165" s="4"/>
      <c r="T165" s="4"/>
      <c r="U165" s="4"/>
      <c r="V165" s="4" t="s">
        <v>396</v>
      </c>
      <c r="W165" s="2"/>
      <c r="X165" s="4"/>
    </row>
    <row r="166" spans="1:24" x14ac:dyDescent="0.25">
      <c r="A166" s="1" t="s">
        <v>186</v>
      </c>
      <c r="B166" s="4" t="s">
        <v>57</v>
      </c>
      <c r="C166" s="5" t="s">
        <v>400</v>
      </c>
      <c r="D166" s="12">
        <v>10</v>
      </c>
      <c r="E166" s="2" t="s">
        <v>202</v>
      </c>
      <c r="F166" s="4" t="s">
        <v>29</v>
      </c>
      <c r="G166" s="4" t="s">
        <v>28</v>
      </c>
      <c r="H166" s="7">
        <v>34640</v>
      </c>
      <c r="I166" s="21">
        <f t="shared" ca="1" si="14"/>
        <v>31</v>
      </c>
      <c r="J166" s="8">
        <v>35000000</v>
      </c>
      <c r="K166" s="8">
        <v>40000000</v>
      </c>
      <c r="L166" s="8">
        <v>105840</v>
      </c>
      <c r="M166" s="8">
        <f>(Table2[[#This Row],[Salary/
Week]]*52)</f>
        <v>5503680</v>
      </c>
      <c r="N166" s="9">
        <v>44800</v>
      </c>
      <c r="O166" s="10">
        <v>46568</v>
      </c>
      <c r="P166" s="4">
        <f t="shared" ca="1" si="15"/>
        <v>4</v>
      </c>
      <c r="Q166" s="4">
        <f t="shared" ca="1" si="16"/>
        <v>0</v>
      </c>
      <c r="R166" s="4">
        <f t="shared" ca="1" si="17"/>
        <v>9</v>
      </c>
      <c r="S166" s="4"/>
      <c r="T166" s="4"/>
      <c r="U166" s="4"/>
      <c r="V166" s="4" t="s">
        <v>397</v>
      </c>
      <c r="W166" s="2" t="s">
        <v>673</v>
      </c>
      <c r="X166" s="4"/>
    </row>
    <row r="167" spans="1:24" x14ac:dyDescent="0.25">
      <c r="A167" s="1" t="s">
        <v>186</v>
      </c>
      <c r="B167" s="4"/>
      <c r="C167" s="5" t="s">
        <v>401</v>
      </c>
      <c r="D167" s="12">
        <v>19</v>
      </c>
      <c r="E167" s="2" t="s">
        <v>203</v>
      </c>
      <c r="F167" s="4" t="s">
        <v>29</v>
      </c>
      <c r="G167" s="4" t="s">
        <v>31</v>
      </c>
      <c r="H167" s="7">
        <v>35355</v>
      </c>
      <c r="I167" s="21">
        <f t="shared" ca="1" si="14"/>
        <v>29</v>
      </c>
      <c r="J167" s="8">
        <v>0</v>
      </c>
      <c r="K167" s="8">
        <v>0</v>
      </c>
      <c r="L167" s="8">
        <v>50000</v>
      </c>
      <c r="M167" s="8">
        <f>(Table2[[#This Row],[Salary/
Week]]*52)</f>
        <v>2600000</v>
      </c>
      <c r="N167" s="9">
        <v>45114</v>
      </c>
      <c r="O167" s="10">
        <v>46568</v>
      </c>
      <c r="P167" s="4">
        <f t="shared" ca="1" si="15"/>
        <v>3</v>
      </c>
      <c r="Q167" s="4">
        <f t="shared" ca="1" si="16"/>
        <v>0</v>
      </c>
      <c r="R167" s="4">
        <f t="shared" ca="1" si="17"/>
        <v>9</v>
      </c>
      <c r="S167" s="4"/>
      <c r="T167" s="4"/>
      <c r="U167" s="4"/>
      <c r="V167" s="4" t="s">
        <v>397</v>
      </c>
      <c r="W167" s="2"/>
      <c r="X167" s="4"/>
    </row>
    <row r="168" spans="1:24" x14ac:dyDescent="0.25">
      <c r="A168" s="1" t="s">
        <v>186</v>
      </c>
      <c r="B168" s="4"/>
      <c r="C168" s="5" t="s">
        <v>401</v>
      </c>
      <c r="D168" s="12">
        <v>40</v>
      </c>
      <c r="E168" s="2" t="s">
        <v>204</v>
      </c>
      <c r="F168" s="4" t="s">
        <v>33</v>
      </c>
      <c r="G168" s="4" t="s">
        <v>35</v>
      </c>
      <c r="H168" s="7">
        <v>36575</v>
      </c>
      <c r="I168" s="21">
        <f t="shared" ca="1" si="14"/>
        <v>26</v>
      </c>
      <c r="J168" s="8">
        <v>12000000</v>
      </c>
      <c r="K168" s="8">
        <v>20000000</v>
      </c>
      <c r="L168" s="8">
        <v>55000</v>
      </c>
      <c r="M168" s="8">
        <f>(Table2[[#This Row],[Salary/
Week]]*52)</f>
        <v>2860000</v>
      </c>
      <c r="N168" s="9">
        <v>45865</v>
      </c>
      <c r="O168" s="10">
        <v>46934</v>
      </c>
      <c r="P168" s="4">
        <f t="shared" ca="1" si="15"/>
        <v>1</v>
      </c>
      <c r="Q168" s="4">
        <f t="shared" ca="1" si="16"/>
        <v>1</v>
      </c>
      <c r="R168" s="4">
        <f t="shared" ca="1" si="17"/>
        <v>21</v>
      </c>
      <c r="S168" s="4"/>
      <c r="T168" s="4"/>
      <c r="U168" s="4"/>
      <c r="V168" s="4" t="s">
        <v>397</v>
      </c>
      <c r="W168" s="2"/>
      <c r="X168" s="4"/>
    </row>
    <row r="169" spans="1:24" x14ac:dyDescent="0.25">
      <c r="A169" s="1" t="s">
        <v>186</v>
      </c>
      <c r="B169" s="4"/>
      <c r="C169" s="5" t="s">
        <v>400</v>
      </c>
      <c r="D169" s="12">
        <v>8</v>
      </c>
      <c r="E169" s="2" t="s">
        <v>205</v>
      </c>
      <c r="F169" s="4" t="s">
        <v>33</v>
      </c>
      <c r="G169" s="4" t="s">
        <v>30</v>
      </c>
      <c r="H169" s="7">
        <v>37140</v>
      </c>
      <c r="I169" s="21">
        <f t="shared" ca="1" si="14"/>
        <v>25</v>
      </c>
      <c r="J169" s="8">
        <v>0</v>
      </c>
      <c r="K169" s="8">
        <v>24500000</v>
      </c>
      <c r="L169" s="8">
        <v>80000</v>
      </c>
      <c r="M169" s="8">
        <f>(Table2[[#This Row],[Salary/
Week]]*52)</f>
        <v>4160000</v>
      </c>
      <c r="N169" s="9">
        <v>44567</v>
      </c>
      <c r="O169" s="10">
        <v>47299</v>
      </c>
      <c r="P169" s="4">
        <f t="shared" ca="1" si="15"/>
        <v>4</v>
      </c>
      <c r="Q169" s="4">
        <f t="shared" ca="1" si="16"/>
        <v>2</v>
      </c>
      <c r="R169" s="4">
        <f t="shared" ca="1" si="17"/>
        <v>33</v>
      </c>
      <c r="S169" s="4"/>
      <c r="T169" s="4"/>
      <c r="U169" s="4"/>
      <c r="V169" s="4" t="s">
        <v>397</v>
      </c>
      <c r="W169" s="2"/>
      <c r="X169" s="4"/>
    </row>
    <row r="170" spans="1:24" x14ac:dyDescent="0.25">
      <c r="A170" s="1" t="s">
        <v>186</v>
      </c>
      <c r="B170" s="4"/>
      <c r="C170" s="5" t="s">
        <v>400</v>
      </c>
      <c r="D170" s="12">
        <v>9</v>
      </c>
      <c r="E170" s="2" t="s">
        <v>206</v>
      </c>
      <c r="F170" s="4" t="s">
        <v>31</v>
      </c>
      <c r="G170" s="4" t="s">
        <v>30</v>
      </c>
      <c r="H170" s="7">
        <v>35320</v>
      </c>
      <c r="I170" s="21">
        <f t="shared" ca="1" si="14"/>
        <v>29</v>
      </c>
      <c r="J170" s="8">
        <v>9000000</v>
      </c>
      <c r="K170" s="8">
        <v>30000000</v>
      </c>
      <c r="L170" s="8">
        <v>100000</v>
      </c>
      <c r="M170" s="8">
        <f>(Table2[[#This Row],[Salary/
Week]]*52)</f>
        <v>5200000</v>
      </c>
      <c r="N170" s="9">
        <v>44765</v>
      </c>
      <c r="O170" s="10">
        <v>46568</v>
      </c>
      <c r="P170" s="4">
        <f t="shared" ca="1" si="15"/>
        <v>4</v>
      </c>
      <c r="Q170" s="4">
        <f t="shared" ca="1" si="16"/>
        <v>0</v>
      </c>
      <c r="R170" s="4">
        <f t="shared" ca="1" si="17"/>
        <v>9</v>
      </c>
      <c r="S170" s="4"/>
      <c r="T170" s="4"/>
      <c r="U170" s="4"/>
      <c r="V170" s="4" t="s">
        <v>396</v>
      </c>
      <c r="W170" s="2"/>
      <c r="X170" s="4"/>
    </row>
    <row r="171" spans="1:24" x14ac:dyDescent="0.25">
      <c r="A171" s="1" t="s">
        <v>186</v>
      </c>
      <c r="B171" s="4"/>
      <c r="C171" s="5" t="s">
        <v>401</v>
      </c>
      <c r="D171" s="12">
        <v>11</v>
      </c>
      <c r="E171" s="2" t="s">
        <v>207</v>
      </c>
      <c r="F171" s="4" t="s">
        <v>31</v>
      </c>
      <c r="G171" s="4" t="s">
        <v>31</v>
      </c>
      <c r="H171" s="7">
        <v>36942</v>
      </c>
      <c r="I171" s="21">
        <f t="shared" ca="1" si="14"/>
        <v>25</v>
      </c>
      <c r="J171" s="8">
        <v>14500000</v>
      </c>
      <c r="K171" s="8">
        <v>20000000</v>
      </c>
      <c r="L171" s="8">
        <v>40000</v>
      </c>
      <c r="M171" s="8">
        <f>(Table2[[#This Row],[Salary/
Week]]*52)</f>
        <v>2080000</v>
      </c>
      <c r="N171" s="9">
        <v>45505</v>
      </c>
      <c r="O171" s="10">
        <v>47299</v>
      </c>
      <c r="P171" s="4">
        <f t="shared" ca="1" si="15"/>
        <v>2</v>
      </c>
      <c r="Q171" s="4">
        <f t="shared" ca="1" si="16"/>
        <v>2</v>
      </c>
      <c r="R171" s="4">
        <f t="shared" ca="1" si="17"/>
        <v>33</v>
      </c>
      <c r="S171" s="4"/>
      <c r="T171" s="4"/>
      <c r="U171" s="4"/>
      <c r="V171" s="4" t="s">
        <v>397</v>
      </c>
      <c r="W171" s="2"/>
      <c r="X171" s="4"/>
    </row>
    <row r="172" spans="1:24" x14ac:dyDescent="0.25">
      <c r="A172" s="1" t="s">
        <v>186</v>
      </c>
      <c r="B172" s="4"/>
      <c r="C172" s="5" t="s">
        <v>400</v>
      </c>
      <c r="D172" s="12">
        <v>22</v>
      </c>
      <c r="E172" s="2" t="s">
        <v>668</v>
      </c>
      <c r="F172" s="4" t="s">
        <v>36</v>
      </c>
      <c r="G172" s="4" t="s">
        <v>35</v>
      </c>
      <c r="H172" s="7">
        <v>40068</v>
      </c>
      <c r="I172" s="21">
        <f ca="1">DATEDIF(H172,TODAY(),"Y")</f>
        <v>16</v>
      </c>
      <c r="J172" s="8">
        <v>12000000</v>
      </c>
      <c r="K172" s="8">
        <v>35000000</v>
      </c>
      <c r="L172" s="8">
        <v>26000</v>
      </c>
      <c r="M172" s="8">
        <f>(Table2[[#This Row],[Salary/
Week]]*52)</f>
        <v>1352000</v>
      </c>
      <c r="N172" s="9">
        <v>46253</v>
      </c>
      <c r="O172" s="10">
        <v>47299</v>
      </c>
      <c r="P172" s="4">
        <f ca="1">DATEDIF(N172,TODAY(),"Y")</f>
        <v>0</v>
      </c>
      <c r="Q172" s="4">
        <f ca="1">DATEDIF(TODAY(),O172,"y")</f>
        <v>2</v>
      </c>
      <c r="R172" s="4">
        <f ca="1">DATEDIF(TODAY(),O172,"m")</f>
        <v>33</v>
      </c>
      <c r="S172" s="4"/>
      <c r="T172" s="4"/>
      <c r="U172" s="4"/>
      <c r="V172" s="4" t="s">
        <v>396</v>
      </c>
      <c r="W172" s="2" t="s">
        <v>661</v>
      </c>
      <c r="X172" s="4"/>
    </row>
    <row r="173" spans="1:24" x14ac:dyDescent="0.25">
      <c r="A173" s="1" t="s">
        <v>186</v>
      </c>
      <c r="B173" s="4"/>
      <c r="C173" s="5" t="s">
        <v>401</v>
      </c>
      <c r="D173" s="12">
        <v>21</v>
      </c>
      <c r="E173" s="2" t="s">
        <v>208</v>
      </c>
      <c r="F173" s="4" t="s">
        <v>36</v>
      </c>
      <c r="G173" s="4" t="s">
        <v>35</v>
      </c>
      <c r="H173" s="7">
        <v>39196</v>
      </c>
      <c r="I173" s="21">
        <f t="shared" ca="1" si="14"/>
        <v>19</v>
      </c>
      <c r="J173" s="8">
        <v>500000</v>
      </c>
      <c r="K173" s="8">
        <v>15000000</v>
      </c>
      <c r="L173" s="8">
        <v>35000</v>
      </c>
      <c r="M173" s="8">
        <f>(Table2[[#This Row],[Salary/
Week]]*52)</f>
        <v>1820000</v>
      </c>
      <c r="N173" s="9">
        <v>45155</v>
      </c>
      <c r="O173" s="10">
        <v>47299</v>
      </c>
      <c r="P173" s="4">
        <f t="shared" ca="1" si="15"/>
        <v>3</v>
      </c>
      <c r="Q173" s="4">
        <f t="shared" ca="1" si="16"/>
        <v>2</v>
      </c>
      <c r="R173" s="4">
        <f t="shared" ca="1" si="17"/>
        <v>33</v>
      </c>
      <c r="S173" s="4"/>
      <c r="T173" s="4"/>
      <c r="U173" s="4"/>
      <c r="V173" s="4" t="s">
        <v>397</v>
      </c>
      <c r="W173" s="2"/>
      <c r="X173" s="4"/>
    </row>
    <row r="174" spans="1:24" x14ac:dyDescent="0.25">
      <c r="A174" s="1" t="s">
        <v>186</v>
      </c>
      <c r="B174" s="4"/>
      <c r="C174" s="5" t="s">
        <v>401</v>
      </c>
      <c r="D174" s="12">
        <v>17</v>
      </c>
      <c r="E174" s="2" t="s">
        <v>209</v>
      </c>
      <c r="F174" s="33" t="s">
        <v>35</v>
      </c>
      <c r="G174" s="4" t="s">
        <v>35</v>
      </c>
      <c r="H174" s="7">
        <v>38829</v>
      </c>
      <c r="I174" s="21">
        <f t="shared" ca="1" si="14"/>
        <v>20</v>
      </c>
      <c r="J174" s="8">
        <v>0</v>
      </c>
      <c r="K174" s="8">
        <v>20000000</v>
      </c>
      <c r="L174" s="8">
        <v>15000</v>
      </c>
      <c r="M174" s="8">
        <f>(Table2[[#This Row],[Salary/
Week]]*52)</f>
        <v>780000</v>
      </c>
      <c r="N174" s="9">
        <v>45865</v>
      </c>
      <c r="O174" s="10">
        <v>46568</v>
      </c>
      <c r="P174" s="4">
        <f t="shared" ca="1" si="15"/>
        <v>1</v>
      </c>
      <c r="Q174" s="4">
        <f t="shared" ca="1" si="16"/>
        <v>0</v>
      </c>
      <c r="R174" s="4">
        <f t="shared" ca="1" si="17"/>
        <v>9</v>
      </c>
      <c r="S174" s="4"/>
      <c r="T174" s="4"/>
      <c r="U174" s="4"/>
      <c r="V174" s="4" t="s">
        <v>398</v>
      </c>
      <c r="W174" s="2"/>
      <c r="X174" s="4"/>
    </row>
    <row r="175" spans="1:24" x14ac:dyDescent="0.25">
      <c r="A175" s="1" t="s">
        <v>210</v>
      </c>
      <c r="B175" s="4" t="s">
        <v>57</v>
      </c>
      <c r="C175" s="5" t="s">
        <v>400</v>
      </c>
      <c r="D175" s="12">
        <v>1</v>
      </c>
      <c r="E175" s="2" t="s">
        <v>211</v>
      </c>
      <c r="F175" s="4" t="s">
        <v>23</v>
      </c>
      <c r="G175" s="4" t="s">
        <v>23</v>
      </c>
      <c r="H175" s="7">
        <v>36884</v>
      </c>
      <c r="I175" s="21">
        <f t="shared" ca="1" si="14"/>
        <v>25</v>
      </c>
      <c r="J175" s="8">
        <v>80000</v>
      </c>
      <c r="K175" s="8">
        <v>56500000</v>
      </c>
      <c r="L175" s="8">
        <v>35000</v>
      </c>
      <c r="M175" s="8">
        <f>(Table2[[#This Row],[Salary/
Week]]*52)</f>
        <v>1820000</v>
      </c>
      <c r="N175" s="9">
        <v>44732</v>
      </c>
      <c r="O175" s="10">
        <v>48395</v>
      </c>
      <c r="P175" s="4">
        <f t="shared" ca="1" si="15"/>
        <v>4</v>
      </c>
      <c r="Q175" s="4">
        <f t="shared" ca="1" si="16"/>
        <v>5</v>
      </c>
      <c r="R175" s="4">
        <f t="shared" ca="1" si="17"/>
        <v>69</v>
      </c>
      <c r="S175" s="4"/>
      <c r="T175" s="4"/>
      <c r="U175" s="4"/>
      <c r="V175" s="4" t="s">
        <v>397</v>
      </c>
      <c r="W175" s="2"/>
      <c r="X175" s="4"/>
    </row>
    <row r="176" spans="1:24" x14ac:dyDescent="0.25">
      <c r="A176" s="1" t="s">
        <v>210</v>
      </c>
      <c r="B176" s="4"/>
      <c r="C176" s="5" t="s">
        <v>401</v>
      </c>
      <c r="D176" s="12">
        <v>12</v>
      </c>
      <c r="E176" s="2" t="s">
        <v>212</v>
      </c>
      <c r="F176" s="4" t="s">
        <v>23</v>
      </c>
      <c r="G176" s="4" t="s">
        <v>23</v>
      </c>
      <c r="H176" s="7">
        <v>36184</v>
      </c>
      <c r="I176" s="21">
        <f t="shared" ca="1" si="14"/>
        <v>27</v>
      </c>
      <c r="J176" s="8">
        <v>0</v>
      </c>
      <c r="K176" s="8">
        <v>440000</v>
      </c>
      <c r="L176" s="8">
        <v>30000</v>
      </c>
      <c r="M176" s="8">
        <f>(Table2[[#This Row],[Salary/
Week]]*52)</f>
        <v>1560000</v>
      </c>
      <c r="N176" s="9">
        <v>45169</v>
      </c>
      <c r="O176" s="10">
        <v>48395</v>
      </c>
      <c r="P176" s="4">
        <f t="shared" ca="1" si="15"/>
        <v>3</v>
      </c>
      <c r="Q176" s="4">
        <f t="shared" ca="1" si="16"/>
        <v>5</v>
      </c>
      <c r="R176" s="4">
        <f t="shared" ca="1" si="17"/>
        <v>69</v>
      </c>
      <c r="S176" s="4"/>
      <c r="T176" s="4"/>
      <c r="U176" s="4"/>
      <c r="V176" s="4" t="s">
        <v>397</v>
      </c>
      <c r="W176" s="2"/>
      <c r="X176" s="4"/>
    </row>
    <row r="177" spans="1:24" x14ac:dyDescent="0.25">
      <c r="A177" s="1" t="s">
        <v>210</v>
      </c>
      <c r="B177" s="4"/>
      <c r="C177" s="5" t="s">
        <v>402</v>
      </c>
      <c r="D177" s="12">
        <v>33</v>
      </c>
      <c r="E177" s="2" t="s">
        <v>213</v>
      </c>
      <c r="F177" s="4" t="s">
        <v>23</v>
      </c>
      <c r="G177" s="4" t="s">
        <v>23</v>
      </c>
      <c r="H177" s="7">
        <v>37374</v>
      </c>
      <c r="I177" s="21">
        <f t="shared" ca="1" si="14"/>
        <v>24</v>
      </c>
      <c r="J177" s="8">
        <v>0</v>
      </c>
      <c r="K177" s="8">
        <v>0</v>
      </c>
      <c r="L177" s="8">
        <v>17000</v>
      </c>
      <c r="M177" s="8">
        <f>(Table2[[#This Row],[Salary/
Week]]*52)</f>
        <v>884000</v>
      </c>
      <c r="N177" s="9">
        <v>44200</v>
      </c>
      <c r="O177" s="10">
        <v>46934</v>
      </c>
      <c r="P177" s="4">
        <f t="shared" ca="1" si="15"/>
        <v>5</v>
      </c>
      <c r="Q177" s="4">
        <f t="shared" ca="1" si="16"/>
        <v>1</v>
      </c>
      <c r="R177" s="4">
        <f t="shared" ca="1" si="17"/>
        <v>21</v>
      </c>
      <c r="S177" s="4"/>
      <c r="T177" s="4"/>
      <c r="U177" s="4"/>
      <c r="V177" s="4" t="s">
        <v>397</v>
      </c>
      <c r="W177" s="2"/>
      <c r="X177" s="4"/>
    </row>
    <row r="178" spans="1:24" x14ac:dyDescent="0.25">
      <c r="A178" s="1" t="s">
        <v>210</v>
      </c>
      <c r="B178" s="4"/>
      <c r="C178" s="5" t="s">
        <v>400</v>
      </c>
      <c r="D178" s="12">
        <v>3</v>
      </c>
      <c r="E178" s="2" t="s">
        <v>446</v>
      </c>
      <c r="F178" s="4" t="s">
        <v>25</v>
      </c>
      <c r="G178" s="4" t="s">
        <v>25</v>
      </c>
      <c r="H178" s="7">
        <v>34767</v>
      </c>
      <c r="I178" s="21">
        <f t="shared" ca="1" si="14"/>
        <v>31</v>
      </c>
      <c r="J178" s="8">
        <v>0</v>
      </c>
      <c r="K178" s="8">
        <v>0</v>
      </c>
      <c r="L178" s="8">
        <v>78000</v>
      </c>
      <c r="M178" s="8">
        <f>(Table2[[#This Row],[Salary/
Week]]*52)</f>
        <v>4056000</v>
      </c>
      <c r="N178" s="9">
        <v>46204</v>
      </c>
      <c r="O178" s="10">
        <v>47664</v>
      </c>
      <c r="P178" s="4">
        <f t="shared" ca="1" si="15"/>
        <v>0</v>
      </c>
      <c r="Q178" s="4">
        <f t="shared" ca="1" si="16"/>
        <v>3</v>
      </c>
      <c r="R178" s="4">
        <f t="shared" ca="1" si="17"/>
        <v>45</v>
      </c>
      <c r="S178" s="4"/>
      <c r="T178" s="4"/>
      <c r="U178" s="4"/>
      <c r="V178" s="4" t="s">
        <v>396</v>
      </c>
      <c r="W178" s="16" t="s">
        <v>536</v>
      </c>
      <c r="X178" s="4"/>
    </row>
    <row r="179" spans="1:24" x14ac:dyDescent="0.25">
      <c r="A179" s="1" t="s">
        <v>210</v>
      </c>
      <c r="B179" s="4"/>
      <c r="C179" s="5" t="s">
        <v>401</v>
      </c>
      <c r="D179" s="12">
        <v>48</v>
      </c>
      <c r="E179" s="2" t="s">
        <v>215</v>
      </c>
      <c r="F179" s="4" t="s">
        <v>25</v>
      </c>
      <c r="G179" s="4" t="s">
        <v>25</v>
      </c>
      <c r="H179" s="7">
        <v>37616</v>
      </c>
      <c r="I179" s="21">
        <f t="shared" ca="1" si="14"/>
        <v>23</v>
      </c>
      <c r="J179" s="8">
        <v>1300000</v>
      </c>
      <c r="K179" s="8">
        <v>850000</v>
      </c>
      <c r="L179" s="8">
        <v>81000</v>
      </c>
      <c r="M179" s="8">
        <f>(Table2[[#This Row],[Salary/
Week]]*52)</f>
        <v>4212000</v>
      </c>
      <c r="N179" s="9">
        <v>45468</v>
      </c>
      <c r="O179" s="10">
        <v>46568</v>
      </c>
      <c r="P179" s="4">
        <f t="shared" ca="1" si="15"/>
        <v>2</v>
      </c>
      <c r="Q179" s="4">
        <f t="shared" ca="1" si="16"/>
        <v>0</v>
      </c>
      <c r="R179" s="4">
        <f t="shared" ca="1" si="17"/>
        <v>9</v>
      </c>
      <c r="S179" s="4"/>
      <c r="T179" s="4"/>
      <c r="U179" s="4"/>
      <c r="V179" s="4" t="s">
        <v>396</v>
      </c>
      <c r="W179" s="2"/>
      <c r="X179" s="4"/>
    </row>
    <row r="180" spans="1:24" x14ac:dyDescent="0.25">
      <c r="A180" s="1" t="s">
        <v>210</v>
      </c>
      <c r="B180" s="4"/>
      <c r="C180" s="5" t="s">
        <v>400</v>
      </c>
      <c r="D180" s="12">
        <v>4</v>
      </c>
      <c r="E180" s="2" t="s">
        <v>267</v>
      </c>
      <c r="F180" s="4" t="s">
        <v>26</v>
      </c>
      <c r="G180" s="4" t="s">
        <v>26</v>
      </c>
      <c r="H180" s="7">
        <v>36868</v>
      </c>
      <c r="I180" s="21">
        <f t="shared" ca="1" si="14"/>
        <v>25</v>
      </c>
      <c r="J180" s="8">
        <v>15000000</v>
      </c>
      <c r="K180" s="8">
        <v>23000000</v>
      </c>
      <c r="L180" s="8">
        <v>120000</v>
      </c>
      <c r="M180" s="8">
        <f>(Table2[[#This Row],[Salary/
Week]]*52)</f>
        <v>6240000</v>
      </c>
      <c r="N180" s="9">
        <v>46231</v>
      </c>
      <c r="O180" s="10">
        <v>48760</v>
      </c>
      <c r="P180" s="4">
        <f t="shared" ca="1" si="15"/>
        <v>0</v>
      </c>
      <c r="Q180" s="4">
        <f t="shared" ca="1" si="16"/>
        <v>6</v>
      </c>
      <c r="R180" s="4">
        <f t="shared" ca="1" si="17"/>
        <v>81</v>
      </c>
      <c r="S180" s="4"/>
      <c r="T180" s="4"/>
      <c r="U180" s="4"/>
      <c r="V180" s="4" t="s">
        <v>396</v>
      </c>
      <c r="W180" s="2" t="s">
        <v>488</v>
      </c>
      <c r="X180" s="4"/>
    </row>
    <row r="181" spans="1:24" x14ac:dyDescent="0.25">
      <c r="A181" s="1" t="s">
        <v>210</v>
      </c>
      <c r="B181" s="4"/>
      <c r="C181" s="5" t="s">
        <v>401</v>
      </c>
      <c r="D181" s="12">
        <v>40</v>
      </c>
      <c r="E181" s="2" t="s">
        <v>217</v>
      </c>
      <c r="F181" s="4" t="s">
        <v>26</v>
      </c>
      <c r="G181" s="4" t="s">
        <v>26</v>
      </c>
      <c r="H181" s="7">
        <v>37774</v>
      </c>
      <c r="I181" s="21">
        <f t="shared" ca="1" si="14"/>
        <v>23</v>
      </c>
      <c r="J181" s="8">
        <v>900000</v>
      </c>
      <c r="K181" s="8">
        <v>900000</v>
      </c>
      <c r="L181" s="8">
        <v>65000</v>
      </c>
      <c r="M181" s="8">
        <f>(Table2[[#This Row],[Salary/
Week]]*52)</f>
        <v>3380000</v>
      </c>
      <c r="N181" s="9">
        <v>44717</v>
      </c>
      <c r="O181" s="10">
        <v>48029</v>
      </c>
      <c r="P181" s="4">
        <f t="shared" ca="1" si="15"/>
        <v>4</v>
      </c>
      <c r="Q181" s="4">
        <f t="shared" ca="1" si="16"/>
        <v>4</v>
      </c>
      <c r="R181" s="4">
        <f t="shared" ca="1" si="17"/>
        <v>57</v>
      </c>
      <c r="S181" s="4"/>
      <c r="T181" s="4"/>
      <c r="U181" s="4"/>
      <c r="V181" s="4" t="s">
        <v>396</v>
      </c>
      <c r="W181" s="2" t="s">
        <v>464</v>
      </c>
      <c r="X181" s="4"/>
    </row>
    <row r="182" spans="1:24" x14ac:dyDescent="0.25">
      <c r="A182" s="1" t="s">
        <v>210</v>
      </c>
      <c r="B182" s="4"/>
      <c r="C182" s="5" t="s">
        <v>401</v>
      </c>
      <c r="D182" s="12">
        <v>27</v>
      </c>
      <c r="E182" s="2" t="s">
        <v>218</v>
      </c>
      <c r="F182" s="4" t="s">
        <v>26</v>
      </c>
      <c r="G182" s="4" t="s">
        <v>26</v>
      </c>
      <c r="H182" s="7">
        <v>35939</v>
      </c>
      <c r="I182" s="21">
        <f t="shared" ca="1" si="14"/>
        <v>28</v>
      </c>
      <c r="J182" s="8">
        <v>200000</v>
      </c>
      <c r="K182" s="8">
        <v>500000</v>
      </c>
      <c r="L182" s="8">
        <v>65000</v>
      </c>
      <c r="M182" s="8">
        <f>(Table2[[#This Row],[Salary/
Week]]*52)</f>
        <v>3380000</v>
      </c>
      <c r="N182" s="9">
        <v>44592</v>
      </c>
      <c r="O182" s="10">
        <v>46934</v>
      </c>
      <c r="P182" s="4">
        <f t="shared" ca="1" si="15"/>
        <v>4</v>
      </c>
      <c r="Q182" s="4">
        <f t="shared" ca="1" si="16"/>
        <v>1</v>
      </c>
      <c r="R182" s="4">
        <f t="shared" ca="1" si="17"/>
        <v>21</v>
      </c>
      <c r="S182" s="4"/>
      <c r="T182" s="4"/>
      <c r="U182" s="4"/>
      <c r="V182" s="4" t="s">
        <v>397</v>
      </c>
      <c r="W182" s="2" t="s">
        <v>464</v>
      </c>
      <c r="X182" s="4"/>
    </row>
    <row r="183" spans="1:24" x14ac:dyDescent="0.25">
      <c r="A183" s="1" t="s">
        <v>210</v>
      </c>
      <c r="B183" s="4"/>
      <c r="C183" s="5" t="s">
        <v>400</v>
      </c>
      <c r="D183" s="12">
        <v>20</v>
      </c>
      <c r="E183" s="2" t="s">
        <v>219</v>
      </c>
      <c r="F183" s="4" t="s">
        <v>26</v>
      </c>
      <c r="G183" s="4" t="s">
        <v>26</v>
      </c>
      <c r="H183" s="7">
        <v>36749</v>
      </c>
      <c r="I183" s="21">
        <f t="shared" ca="1" si="14"/>
        <v>26</v>
      </c>
      <c r="J183" s="8">
        <v>0</v>
      </c>
      <c r="K183" s="8">
        <v>1000000</v>
      </c>
      <c r="L183" s="8">
        <v>50000</v>
      </c>
      <c r="M183" s="8">
        <f>(Table2[[#This Row],[Salary/
Week]]*52)</f>
        <v>2600000</v>
      </c>
      <c r="N183" s="9">
        <v>45474</v>
      </c>
      <c r="O183" s="10">
        <v>48395</v>
      </c>
      <c r="P183" s="4">
        <f t="shared" ca="1" si="15"/>
        <v>2</v>
      </c>
      <c r="Q183" s="4">
        <f t="shared" ca="1" si="16"/>
        <v>5</v>
      </c>
      <c r="R183" s="4">
        <f t="shared" ca="1" si="17"/>
        <v>69</v>
      </c>
      <c r="S183" s="4"/>
      <c r="T183" s="4"/>
      <c r="U183" s="4"/>
      <c r="V183" s="4" t="s">
        <v>397</v>
      </c>
      <c r="W183" s="15" t="s">
        <v>465</v>
      </c>
      <c r="X183" s="4"/>
    </row>
    <row r="184" spans="1:24" x14ac:dyDescent="0.25">
      <c r="A184" s="1" t="s">
        <v>210</v>
      </c>
      <c r="B184" s="4"/>
      <c r="C184" s="5" t="s">
        <v>400</v>
      </c>
      <c r="D184" s="12">
        <v>5</v>
      </c>
      <c r="E184" s="2" t="s">
        <v>220</v>
      </c>
      <c r="F184" s="4" t="s">
        <v>27</v>
      </c>
      <c r="G184" s="4" t="s">
        <v>27</v>
      </c>
      <c r="H184" s="7">
        <v>37536</v>
      </c>
      <c r="I184" s="21">
        <f t="shared" ca="1" si="14"/>
        <v>23</v>
      </c>
      <c r="J184" s="8">
        <v>5000000</v>
      </c>
      <c r="K184" s="8">
        <v>5000000</v>
      </c>
      <c r="L184" s="8">
        <v>93000</v>
      </c>
      <c r="M184" s="8">
        <f>(Table2[[#This Row],[Salary/
Week]]*52)</f>
        <v>4836000</v>
      </c>
      <c r="N184" s="9">
        <v>44563</v>
      </c>
      <c r="O184" s="10">
        <v>48395</v>
      </c>
      <c r="P184" s="4">
        <f t="shared" ca="1" si="15"/>
        <v>4</v>
      </c>
      <c r="Q184" s="4">
        <f t="shared" ca="1" si="16"/>
        <v>5</v>
      </c>
      <c r="R184" s="4">
        <f t="shared" ca="1" si="17"/>
        <v>69</v>
      </c>
      <c r="S184" s="4"/>
      <c r="T184" s="4"/>
      <c r="U184" s="4"/>
      <c r="V184" s="4" t="s">
        <v>397</v>
      </c>
      <c r="W184" s="15" t="s">
        <v>537</v>
      </c>
      <c r="X184" s="4"/>
    </row>
    <row r="185" spans="1:24" x14ac:dyDescent="0.25">
      <c r="A185" s="1" t="s">
        <v>210</v>
      </c>
      <c r="B185" s="4"/>
      <c r="C185" s="5" t="s">
        <v>401</v>
      </c>
      <c r="D185" s="12">
        <v>7</v>
      </c>
      <c r="E185" s="2" t="s">
        <v>221</v>
      </c>
      <c r="F185" s="4" t="s">
        <v>27</v>
      </c>
      <c r="G185" s="4" t="s">
        <v>27</v>
      </c>
      <c r="H185" s="7">
        <v>38597</v>
      </c>
      <c r="I185" s="21">
        <f t="shared" ca="1" si="14"/>
        <v>21</v>
      </c>
      <c r="J185" s="8">
        <v>75000</v>
      </c>
      <c r="K185" s="8">
        <v>600000</v>
      </c>
      <c r="L185" s="8">
        <v>60000</v>
      </c>
      <c r="M185" s="8">
        <f>(Table2[[#This Row],[Salary/
Week]]*52)</f>
        <v>3120000</v>
      </c>
      <c r="N185" s="9">
        <v>44725</v>
      </c>
      <c r="O185" s="10">
        <v>48029</v>
      </c>
      <c r="P185" s="4">
        <f t="shared" ca="1" si="15"/>
        <v>4</v>
      </c>
      <c r="Q185" s="4">
        <f t="shared" ca="1" si="16"/>
        <v>4</v>
      </c>
      <c r="R185" s="4">
        <f t="shared" ca="1" si="17"/>
        <v>57</v>
      </c>
      <c r="S185" s="4"/>
      <c r="T185" s="4"/>
      <c r="U185" s="4"/>
      <c r="V185" s="4" t="s">
        <v>397</v>
      </c>
      <c r="W185" s="2" t="s">
        <v>497</v>
      </c>
      <c r="X185" s="4"/>
    </row>
    <row r="186" spans="1:24" x14ac:dyDescent="0.25">
      <c r="A186" s="1" t="s">
        <v>210</v>
      </c>
      <c r="B186" s="4"/>
      <c r="C186" s="5" t="s">
        <v>400</v>
      </c>
      <c r="D186" s="12">
        <v>6</v>
      </c>
      <c r="E186" s="2" t="s">
        <v>222</v>
      </c>
      <c r="F186" s="4" t="s">
        <v>28</v>
      </c>
      <c r="G186" s="4" t="s">
        <v>28</v>
      </c>
      <c r="H186" s="7">
        <v>35192</v>
      </c>
      <c r="I186" s="21">
        <f t="shared" ca="1" si="14"/>
        <v>30</v>
      </c>
      <c r="J186" s="8">
        <v>14000000</v>
      </c>
      <c r="K186" s="8">
        <v>25000000</v>
      </c>
      <c r="L186" s="8">
        <v>80000</v>
      </c>
      <c r="M186" s="8">
        <f>(Table2[[#This Row],[Salary/
Week]]*52)</f>
        <v>4160000</v>
      </c>
      <c r="N186" s="9">
        <v>44024</v>
      </c>
      <c r="O186" s="10">
        <v>48760</v>
      </c>
      <c r="P186" s="4">
        <f t="shared" ca="1" si="15"/>
        <v>6</v>
      </c>
      <c r="Q186" s="4">
        <f t="shared" ca="1" si="16"/>
        <v>6</v>
      </c>
      <c r="R186" s="4">
        <f t="shared" ca="1" si="17"/>
        <v>81</v>
      </c>
      <c r="S186" s="4"/>
      <c r="T186" s="4"/>
      <c r="U186" s="4"/>
      <c r="V186" s="4" t="s">
        <v>397</v>
      </c>
      <c r="W186" s="2" t="s">
        <v>529</v>
      </c>
      <c r="X186" s="4"/>
    </row>
    <row r="187" spans="1:24" x14ac:dyDescent="0.25">
      <c r="A187" s="1" t="s">
        <v>210</v>
      </c>
      <c r="B187" s="4"/>
      <c r="C187" s="5" t="s">
        <v>401</v>
      </c>
      <c r="D187" s="12">
        <v>15</v>
      </c>
      <c r="E187" s="2" t="s">
        <v>462</v>
      </c>
      <c r="F187" s="4" t="s">
        <v>28</v>
      </c>
      <c r="G187" s="4" t="s">
        <v>28</v>
      </c>
      <c r="H187" s="7">
        <v>37712</v>
      </c>
      <c r="I187" s="21">
        <f t="shared" ca="1" si="14"/>
        <v>23</v>
      </c>
      <c r="J187" s="8">
        <v>0</v>
      </c>
      <c r="K187" s="8">
        <v>0</v>
      </c>
      <c r="L187" s="8">
        <v>50000</v>
      </c>
      <c r="M187" s="8">
        <f>(Table2[[#This Row],[Salary/
Week]]*52)</f>
        <v>2600000</v>
      </c>
      <c r="N187" s="9">
        <v>46231</v>
      </c>
      <c r="O187" s="10">
        <v>48029</v>
      </c>
      <c r="P187" s="4">
        <f t="shared" ca="1" si="15"/>
        <v>0</v>
      </c>
      <c r="Q187" s="4">
        <f t="shared" ca="1" si="16"/>
        <v>4</v>
      </c>
      <c r="R187" s="4">
        <f t="shared" ca="1" si="17"/>
        <v>57</v>
      </c>
      <c r="S187" s="4"/>
      <c r="T187" s="4"/>
      <c r="U187" s="4"/>
      <c r="V187" s="4" t="s">
        <v>397</v>
      </c>
      <c r="W187" s="2"/>
      <c r="X187" s="4"/>
    </row>
    <row r="188" spans="1:24" x14ac:dyDescent="0.25">
      <c r="A188" s="1" t="s">
        <v>210</v>
      </c>
      <c r="B188" s="4" t="s">
        <v>47</v>
      </c>
      <c r="C188" s="5" t="s">
        <v>400</v>
      </c>
      <c r="D188" s="12">
        <v>17</v>
      </c>
      <c r="E188" s="2" t="s">
        <v>224</v>
      </c>
      <c r="F188" s="4" t="s">
        <v>29</v>
      </c>
      <c r="G188" s="4" t="s">
        <v>28</v>
      </c>
      <c r="H188" s="7">
        <v>35417</v>
      </c>
      <c r="I188" s="21">
        <f t="shared" ca="1" si="14"/>
        <v>29</v>
      </c>
      <c r="J188" s="8">
        <v>5000000</v>
      </c>
      <c r="K188" s="8">
        <v>0</v>
      </c>
      <c r="L188" s="8">
        <v>115000</v>
      </c>
      <c r="M188" s="8">
        <f>(Table2[[#This Row],[Salary/
Week]]*52)</f>
        <v>5980000</v>
      </c>
      <c r="N188" s="9">
        <v>45156</v>
      </c>
      <c r="O188" s="10">
        <v>46568</v>
      </c>
      <c r="P188" s="4">
        <f t="shared" ca="1" si="15"/>
        <v>3</v>
      </c>
      <c r="Q188" s="4">
        <f t="shared" ca="1" si="16"/>
        <v>0</v>
      </c>
      <c r="R188" s="4">
        <f t="shared" ca="1" si="17"/>
        <v>9</v>
      </c>
      <c r="S188" s="4"/>
      <c r="T188" s="4"/>
      <c r="U188" s="4"/>
      <c r="V188" s="4" t="s">
        <v>397</v>
      </c>
      <c r="W188" s="15" t="s">
        <v>538</v>
      </c>
      <c r="X188" s="4"/>
    </row>
    <row r="189" spans="1:24" x14ac:dyDescent="0.25">
      <c r="A189" s="1" t="s">
        <v>210</v>
      </c>
      <c r="B189" s="4"/>
      <c r="C189" s="5" t="s">
        <v>401</v>
      </c>
      <c r="D189" s="12">
        <v>37</v>
      </c>
      <c r="E189" s="2" t="s">
        <v>225</v>
      </c>
      <c r="F189" s="4" t="s">
        <v>29</v>
      </c>
      <c r="G189" s="4" t="s">
        <v>33</v>
      </c>
      <c r="H189" s="7">
        <v>37073</v>
      </c>
      <c r="I189" s="21">
        <f t="shared" ca="1" si="14"/>
        <v>25</v>
      </c>
      <c r="J189" s="8">
        <v>480000</v>
      </c>
      <c r="K189" s="8">
        <v>1000000</v>
      </c>
      <c r="L189" s="8">
        <v>35000</v>
      </c>
      <c r="M189" s="8">
        <f>(Table2[[#This Row],[Salary/
Week]]*52)</f>
        <v>1820000</v>
      </c>
      <c r="N189" s="9">
        <v>45520</v>
      </c>
      <c r="O189" s="10">
        <v>46934</v>
      </c>
      <c r="P189" s="4">
        <f t="shared" ca="1" si="15"/>
        <v>2</v>
      </c>
      <c r="Q189" s="4">
        <f t="shared" ca="1" si="16"/>
        <v>1</v>
      </c>
      <c r="R189" s="4">
        <f t="shared" ca="1" si="17"/>
        <v>21</v>
      </c>
      <c r="S189" s="4"/>
      <c r="T189" s="4"/>
      <c r="U189" s="4"/>
      <c r="V189" s="4" t="s">
        <v>397</v>
      </c>
      <c r="W189" s="2" t="s">
        <v>499</v>
      </c>
      <c r="X189" s="4"/>
    </row>
    <row r="190" spans="1:24" x14ac:dyDescent="0.25">
      <c r="A190" s="1" t="s">
        <v>210</v>
      </c>
      <c r="B190" s="4"/>
      <c r="C190" s="5" t="s">
        <v>402</v>
      </c>
      <c r="D190" s="12">
        <v>21</v>
      </c>
      <c r="E190" s="2" t="s">
        <v>226</v>
      </c>
      <c r="F190" s="4" t="s">
        <v>29</v>
      </c>
      <c r="G190" s="4" t="s">
        <v>33</v>
      </c>
      <c r="H190" s="7">
        <v>38331</v>
      </c>
      <c r="I190" s="21">
        <f t="shared" ca="1" si="14"/>
        <v>21</v>
      </c>
      <c r="J190" s="8">
        <v>943000</v>
      </c>
      <c r="K190" s="8">
        <v>1500000</v>
      </c>
      <c r="L190" s="8">
        <v>35000</v>
      </c>
      <c r="M190" s="8">
        <f>(Table2[[#This Row],[Salary/
Week]]*52)</f>
        <v>1820000</v>
      </c>
      <c r="N190" s="9">
        <v>44577</v>
      </c>
      <c r="O190" s="10">
        <v>46568</v>
      </c>
      <c r="P190" s="4">
        <f t="shared" ca="1" si="15"/>
        <v>4</v>
      </c>
      <c r="Q190" s="4">
        <f t="shared" ca="1" si="16"/>
        <v>0</v>
      </c>
      <c r="R190" s="4">
        <f t="shared" ca="1" si="17"/>
        <v>9</v>
      </c>
      <c r="S190" s="4"/>
      <c r="T190" s="4"/>
      <c r="U190" s="4"/>
      <c r="V190" s="4" t="s">
        <v>397</v>
      </c>
      <c r="W190" s="2" t="s">
        <v>494</v>
      </c>
      <c r="X190" s="4"/>
    </row>
    <row r="191" spans="1:24" x14ac:dyDescent="0.25">
      <c r="A191" s="1" t="s">
        <v>210</v>
      </c>
      <c r="B191" s="4"/>
      <c r="C191" s="5" t="s">
        <v>402</v>
      </c>
      <c r="D191" s="12">
        <v>52</v>
      </c>
      <c r="E191" s="2" t="s">
        <v>228</v>
      </c>
      <c r="F191" s="4" t="s">
        <v>30</v>
      </c>
      <c r="G191" s="4" t="s">
        <v>36</v>
      </c>
      <c r="H191" s="7">
        <v>39630</v>
      </c>
      <c r="I191" s="21">
        <f t="shared" ca="1" si="14"/>
        <v>18</v>
      </c>
      <c r="J191" s="8">
        <v>80000</v>
      </c>
      <c r="K191" s="8">
        <v>0</v>
      </c>
      <c r="L191" s="8">
        <v>11000</v>
      </c>
      <c r="M191" s="8">
        <f>(Table2[[#This Row],[Salary/
Week]]*52)</f>
        <v>572000</v>
      </c>
      <c r="N191" s="9">
        <v>45867</v>
      </c>
      <c r="O191" s="10">
        <v>49490</v>
      </c>
      <c r="P191" s="4">
        <f t="shared" ca="1" si="15"/>
        <v>1</v>
      </c>
      <c r="Q191" s="4">
        <f t="shared" ca="1" si="16"/>
        <v>8</v>
      </c>
      <c r="R191" s="4">
        <f t="shared" ca="1" si="17"/>
        <v>105</v>
      </c>
      <c r="S191" s="4"/>
      <c r="T191" s="4"/>
      <c r="U191" s="4"/>
      <c r="V191" s="4" t="s">
        <v>398</v>
      </c>
      <c r="W191" s="2" t="s">
        <v>539</v>
      </c>
      <c r="X191" s="4"/>
    </row>
    <row r="192" spans="1:24" x14ac:dyDescent="0.25">
      <c r="A192" s="1" t="s">
        <v>210</v>
      </c>
      <c r="B192" s="4"/>
      <c r="C192" s="5" t="s">
        <v>401</v>
      </c>
      <c r="D192" s="12">
        <v>7</v>
      </c>
      <c r="E192" s="2" t="s">
        <v>229</v>
      </c>
      <c r="F192" s="4" t="s">
        <v>30</v>
      </c>
      <c r="G192" s="4" t="s">
        <v>31</v>
      </c>
      <c r="H192" s="7">
        <v>39347</v>
      </c>
      <c r="I192" s="21">
        <f t="shared" ca="1" si="14"/>
        <v>18</v>
      </c>
      <c r="J192" s="8">
        <v>0</v>
      </c>
      <c r="K192" s="8">
        <v>85000000</v>
      </c>
      <c r="L192" s="8">
        <v>282000</v>
      </c>
      <c r="M192" s="8">
        <f>(Table2[[#This Row],[Salary/
Week]]*52)</f>
        <v>14664000</v>
      </c>
      <c r="N192" s="9">
        <v>45868</v>
      </c>
      <c r="O192" s="10">
        <v>49490</v>
      </c>
      <c r="P192" s="4">
        <f t="shared" ca="1" si="15"/>
        <v>1</v>
      </c>
      <c r="Q192" s="4">
        <f t="shared" ca="1" si="16"/>
        <v>8</v>
      </c>
      <c r="R192" s="4">
        <f t="shared" ca="1" si="17"/>
        <v>105</v>
      </c>
      <c r="S192" s="4"/>
      <c r="T192" s="4"/>
      <c r="U192" s="4"/>
      <c r="V192" s="4" t="s">
        <v>397</v>
      </c>
      <c r="W192" s="2" t="s">
        <v>554</v>
      </c>
      <c r="X192" s="4"/>
    </row>
    <row r="193" spans="1:24" x14ac:dyDescent="0.25">
      <c r="A193" s="1" t="s">
        <v>210</v>
      </c>
      <c r="B193" s="4"/>
      <c r="C193" s="5" t="s">
        <v>400</v>
      </c>
      <c r="D193" s="12">
        <v>26</v>
      </c>
      <c r="E193" s="2" t="s">
        <v>570</v>
      </c>
      <c r="F193" s="4" t="s">
        <v>30</v>
      </c>
      <c r="G193" s="4" t="s">
        <v>31</v>
      </c>
      <c r="H193" s="7">
        <v>37778</v>
      </c>
      <c r="I193" s="21">
        <f ca="1">DATEDIF(H193,TODAY(),"Y")</f>
        <v>23</v>
      </c>
      <c r="J193" s="8" t="s">
        <v>572</v>
      </c>
      <c r="K193" s="8">
        <v>80000000</v>
      </c>
      <c r="L193" s="8">
        <v>85000</v>
      </c>
      <c r="M193" s="8">
        <f>(Table2[[#This Row],[Salary/
Week]]*52)</f>
        <v>4420000</v>
      </c>
      <c r="N193" s="9">
        <v>46244</v>
      </c>
      <c r="O193" s="10">
        <v>46568</v>
      </c>
      <c r="P193" s="4">
        <f ca="1">DATEDIF(N193,TODAY(),"Y")</f>
        <v>0</v>
      </c>
      <c r="Q193" s="4">
        <f ca="1">DATEDIF(TODAY(),O193,"y")</f>
        <v>0</v>
      </c>
      <c r="R193" s="4">
        <f ca="1">DATEDIF(TODAY(),O193,"m")</f>
        <v>9</v>
      </c>
      <c r="S193" s="4"/>
      <c r="T193" s="4"/>
      <c r="U193" s="4"/>
      <c r="V193" s="4" t="s">
        <v>397</v>
      </c>
      <c r="W193" s="2" t="s">
        <v>573</v>
      </c>
      <c r="X193" s="4"/>
    </row>
    <row r="194" spans="1:24" x14ac:dyDescent="0.25">
      <c r="A194" s="1" t="s">
        <v>210</v>
      </c>
      <c r="B194" s="4"/>
      <c r="C194" s="5" t="s">
        <v>400</v>
      </c>
      <c r="D194" s="12">
        <v>10</v>
      </c>
      <c r="E194" s="2" t="s">
        <v>230</v>
      </c>
      <c r="F194" s="4" t="s">
        <v>35</v>
      </c>
      <c r="G194" s="4" t="s">
        <v>30</v>
      </c>
      <c r="H194" s="7">
        <v>33636</v>
      </c>
      <c r="I194" s="21">
        <f t="shared" ca="1" si="14"/>
        <v>34</v>
      </c>
      <c r="J194" s="8">
        <v>0</v>
      </c>
      <c r="K194" s="8">
        <v>5400000</v>
      </c>
      <c r="L194" s="8">
        <v>75000</v>
      </c>
      <c r="M194" s="8">
        <f>(Table2[[#This Row],[Salary/
Week]]*52)</f>
        <v>3900000</v>
      </c>
      <c r="N194" s="9">
        <v>45670</v>
      </c>
      <c r="O194" s="10">
        <v>46934</v>
      </c>
      <c r="P194" s="4">
        <f t="shared" ca="1" si="15"/>
        <v>1</v>
      </c>
      <c r="Q194" s="4">
        <f t="shared" ca="1" si="16"/>
        <v>1</v>
      </c>
      <c r="R194" s="4">
        <f t="shared" ca="1" si="17"/>
        <v>21</v>
      </c>
      <c r="S194" s="4"/>
      <c r="T194" s="4"/>
      <c r="U194" s="4"/>
      <c r="V194" s="4" t="s">
        <v>396</v>
      </c>
      <c r="W194" s="2" t="s">
        <v>540</v>
      </c>
      <c r="X194" s="4"/>
    </row>
    <row r="195" spans="1:24" x14ac:dyDescent="0.25">
      <c r="A195" s="1" t="s">
        <v>210</v>
      </c>
      <c r="B195" s="4"/>
      <c r="C195" s="5" t="s">
        <v>401</v>
      </c>
      <c r="D195" s="12">
        <v>14</v>
      </c>
      <c r="E195" s="2" t="s">
        <v>231</v>
      </c>
      <c r="F195" s="4" t="s">
        <v>35</v>
      </c>
      <c r="G195" s="4" t="s">
        <v>31</v>
      </c>
      <c r="H195" s="7">
        <v>36315</v>
      </c>
      <c r="I195" s="21">
        <f t="shared" ca="1" si="14"/>
        <v>27</v>
      </c>
      <c r="J195" s="8">
        <v>0</v>
      </c>
      <c r="K195" s="8">
        <v>10000000</v>
      </c>
      <c r="L195" s="8">
        <v>50000</v>
      </c>
      <c r="M195" s="8">
        <f>(Table2[[#This Row],[Salary/
Week]]*52)</f>
        <v>2600000</v>
      </c>
      <c r="N195" s="9">
        <v>44070</v>
      </c>
      <c r="O195" s="10">
        <v>47664</v>
      </c>
      <c r="P195" s="4">
        <f t="shared" ca="1" si="15"/>
        <v>6</v>
      </c>
      <c r="Q195" s="4">
        <f t="shared" ca="1" si="16"/>
        <v>3</v>
      </c>
      <c r="R195" s="4">
        <f t="shared" ca="1" si="17"/>
        <v>45</v>
      </c>
      <c r="S195" s="4"/>
      <c r="T195" s="4"/>
      <c r="U195" s="4"/>
      <c r="V195" s="4" t="s">
        <v>397</v>
      </c>
      <c r="W195" s="2" t="s">
        <v>499</v>
      </c>
      <c r="X195" s="4"/>
    </row>
    <row r="196" spans="1:24" x14ac:dyDescent="0.25">
      <c r="A196" s="1" t="s">
        <v>210</v>
      </c>
      <c r="B196" s="4"/>
      <c r="C196" s="5" t="s">
        <v>401</v>
      </c>
      <c r="D196" s="12">
        <v>11</v>
      </c>
      <c r="E196" s="2" t="s">
        <v>232</v>
      </c>
      <c r="F196" s="4" t="s">
        <v>31</v>
      </c>
      <c r="G196" s="4" t="s">
        <v>31</v>
      </c>
      <c r="H196" s="7">
        <v>36141</v>
      </c>
      <c r="I196" s="21">
        <f t="shared" ca="1" si="14"/>
        <v>27</v>
      </c>
      <c r="J196" s="8">
        <v>30000000</v>
      </c>
      <c r="K196" s="8">
        <v>40000000</v>
      </c>
      <c r="L196" s="8">
        <v>65000</v>
      </c>
      <c r="M196" s="8">
        <f>(Table2[[#This Row],[Salary/
Week]]*52)</f>
        <v>3380000</v>
      </c>
      <c r="N196" s="9">
        <v>43851</v>
      </c>
      <c r="O196" s="10">
        <v>46934</v>
      </c>
      <c r="P196" s="4">
        <f t="shared" ca="1" si="15"/>
        <v>6</v>
      </c>
      <c r="Q196" s="4">
        <f t="shared" ca="1" si="16"/>
        <v>1</v>
      </c>
      <c r="R196" s="4">
        <f t="shared" ca="1" si="17"/>
        <v>21</v>
      </c>
      <c r="S196" s="4"/>
      <c r="T196" s="4"/>
      <c r="U196" s="4"/>
      <c r="V196" s="4" t="s">
        <v>397</v>
      </c>
      <c r="W196" s="2" t="s">
        <v>541</v>
      </c>
      <c r="X196" s="4"/>
    </row>
    <row r="197" spans="1:24" x14ac:dyDescent="0.25">
      <c r="A197" s="1" t="s">
        <v>210</v>
      </c>
      <c r="B197" s="4"/>
      <c r="C197" s="5" t="s">
        <v>400</v>
      </c>
      <c r="D197" s="12">
        <v>9</v>
      </c>
      <c r="E197" s="2" t="s">
        <v>440</v>
      </c>
      <c r="F197" s="4" t="s">
        <v>31</v>
      </c>
      <c r="G197" s="4" t="s">
        <v>31</v>
      </c>
      <c r="H197" s="7">
        <v>35478</v>
      </c>
      <c r="I197" s="21">
        <f t="shared" ca="1" si="14"/>
        <v>29</v>
      </c>
      <c r="J197" s="8">
        <v>25000000</v>
      </c>
      <c r="K197" s="8">
        <v>25000000</v>
      </c>
      <c r="L197" s="8">
        <v>90000</v>
      </c>
      <c r="M197" s="8">
        <f>(Table2[[#This Row],[Salary/
Week]]*52)</f>
        <v>4680000</v>
      </c>
      <c r="N197" s="9">
        <v>46201</v>
      </c>
      <c r="O197" s="10">
        <v>46934</v>
      </c>
      <c r="P197" s="4">
        <f t="shared" ca="1" si="15"/>
        <v>0</v>
      </c>
      <c r="Q197" s="4">
        <f t="shared" ca="1" si="16"/>
        <v>1</v>
      </c>
      <c r="R197" s="4">
        <f t="shared" ca="1" si="17"/>
        <v>21</v>
      </c>
      <c r="S197" s="4"/>
      <c r="T197" s="4"/>
      <c r="U197" s="4"/>
      <c r="V197" s="4" t="s">
        <v>397</v>
      </c>
      <c r="W197" s="2" t="s">
        <v>542</v>
      </c>
      <c r="X197" s="4"/>
    </row>
    <row r="198" spans="1:24" x14ac:dyDescent="0.25">
      <c r="A198" s="1" t="s">
        <v>210</v>
      </c>
      <c r="B198" s="4"/>
      <c r="C198" s="5" t="s">
        <v>401</v>
      </c>
      <c r="D198" s="12">
        <v>18</v>
      </c>
      <c r="E198" s="2" t="s">
        <v>234</v>
      </c>
      <c r="F198" s="4" t="s">
        <v>32</v>
      </c>
      <c r="G198" s="4" t="s">
        <v>33</v>
      </c>
      <c r="H198" s="7">
        <v>37585</v>
      </c>
      <c r="I198" s="21">
        <f t="shared" ca="1" si="14"/>
        <v>23</v>
      </c>
      <c r="J198" s="8">
        <v>700000</v>
      </c>
      <c r="K198" s="8">
        <v>3000000</v>
      </c>
      <c r="L198" s="8">
        <v>50000</v>
      </c>
      <c r="M198" s="8">
        <f>(Table2[[#This Row],[Salary/
Week]]*52)</f>
        <v>2600000</v>
      </c>
      <c r="N198" s="9">
        <v>44720</v>
      </c>
      <c r="O198" s="10">
        <v>47299</v>
      </c>
      <c r="P198" s="4">
        <f t="shared" ca="1" si="15"/>
        <v>4</v>
      </c>
      <c r="Q198" s="4">
        <f t="shared" ca="1" si="16"/>
        <v>2</v>
      </c>
      <c r="R198" s="4">
        <f t="shared" ca="1" si="17"/>
        <v>33</v>
      </c>
      <c r="S198" s="4"/>
      <c r="T198" s="4"/>
      <c r="U198" s="4"/>
      <c r="V198" s="4" t="s">
        <v>397</v>
      </c>
      <c r="W198" s="15" t="s">
        <v>532</v>
      </c>
      <c r="X198" s="4"/>
    </row>
    <row r="199" spans="1:24" x14ac:dyDescent="0.25">
      <c r="A199" s="1" t="s">
        <v>210</v>
      </c>
      <c r="B199" s="4"/>
      <c r="C199" s="5" t="s">
        <v>400</v>
      </c>
      <c r="D199" s="12">
        <v>30</v>
      </c>
      <c r="E199" s="2" t="s">
        <v>235</v>
      </c>
      <c r="F199" s="4" t="s">
        <v>32</v>
      </c>
      <c r="G199" s="4" t="s">
        <v>33</v>
      </c>
      <c r="H199" s="7">
        <v>37761</v>
      </c>
      <c r="I199" s="21">
        <f t="shared" ca="1" si="14"/>
        <v>23</v>
      </c>
      <c r="J199" s="8">
        <v>30000000</v>
      </c>
      <c r="K199" s="8">
        <v>30000000</v>
      </c>
      <c r="L199" s="8">
        <v>55000</v>
      </c>
      <c r="M199" s="8">
        <f>(Table2[[#This Row],[Salary/
Week]]*52)</f>
        <v>2860000</v>
      </c>
      <c r="N199" s="9">
        <v>45871</v>
      </c>
      <c r="O199" s="10">
        <v>47299</v>
      </c>
      <c r="P199" s="4">
        <f t="shared" ca="1" si="15"/>
        <v>1</v>
      </c>
      <c r="Q199" s="4">
        <f t="shared" ca="1" si="16"/>
        <v>2</v>
      </c>
      <c r="R199" s="4">
        <f t="shared" ca="1" si="17"/>
        <v>33</v>
      </c>
      <c r="S199" s="4"/>
      <c r="T199" s="4"/>
      <c r="U199" s="4"/>
      <c r="V199" s="4" t="s">
        <v>397</v>
      </c>
      <c r="W199" s="15" t="s">
        <v>543</v>
      </c>
      <c r="X199" s="4"/>
    </row>
    <row r="200" spans="1:24" x14ac:dyDescent="0.25">
      <c r="A200" s="1" t="s">
        <v>236</v>
      </c>
      <c r="B200" s="4" t="s">
        <v>57</v>
      </c>
      <c r="C200" s="5" t="s">
        <v>400</v>
      </c>
      <c r="D200" s="12">
        <v>1</v>
      </c>
      <c r="E200" s="2" t="s">
        <v>237</v>
      </c>
      <c r="F200" s="4" t="s">
        <v>23</v>
      </c>
      <c r="G200" s="4" t="s">
        <v>23</v>
      </c>
      <c r="H200" s="7">
        <v>34993</v>
      </c>
      <c r="I200" s="21">
        <f t="shared" ca="1" si="14"/>
        <v>30</v>
      </c>
      <c r="J200" s="8">
        <v>9000000</v>
      </c>
      <c r="K200" s="8">
        <v>55000000</v>
      </c>
      <c r="L200" s="8">
        <v>86000</v>
      </c>
      <c r="M200" s="8">
        <f>(Table2[[#This Row],[Salary/
Week]]*52)</f>
        <v>4472000</v>
      </c>
      <c r="N200" s="9">
        <v>45149</v>
      </c>
      <c r="O200" s="10">
        <v>46568</v>
      </c>
      <c r="P200" s="4">
        <f t="shared" ca="1" si="15"/>
        <v>3</v>
      </c>
      <c r="Q200" s="4">
        <f t="shared" ca="1" si="16"/>
        <v>0</v>
      </c>
      <c r="R200" s="4">
        <f t="shared" ca="1" si="17"/>
        <v>9</v>
      </c>
      <c r="S200" s="4"/>
      <c r="T200" s="4"/>
      <c r="U200" s="4"/>
      <c r="V200" s="4" t="s">
        <v>398</v>
      </c>
      <c r="W200" s="2"/>
      <c r="X200" s="4"/>
    </row>
    <row r="201" spans="1:24" x14ac:dyDescent="0.25">
      <c r="A201" s="1" t="s">
        <v>236</v>
      </c>
      <c r="B201" s="4"/>
      <c r="C201" s="5" t="s">
        <v>401</v>
      </c>
      <c r="D201" s="12">
        <v>13</v>
      </c>
      <c r="E201" s="2" t="s">
        <v>238</v>
      </c>
      <c r="F201" s="4" t="s">
        <v>23</v>
      </c>
      <c r="G201" s="4" t="s">
        <v>23</v>
      </c>
      <c r="H201" s="7">
        <v>36756</v>
      </c>
      <c r="I201" s="21">
        <f t="shared" ca="1" si="14"/>
        <v>26</v>
      </c>
      <c r="J201" s="8">
        <v>0</v>
      </c>
      <c r="K201" s="8">
        <v>0</v>
      </c>
      <c r="L201" s="8">
        <v>23000</v>
      </c>
      <c r="M201" s="8">
        <f>(Table2[[#This Row],[Salary/
Week]]*52)</f>
        <v>1196000</v>
      </c>
      <c r="N201" s="9">
        <v>45521</v>
      </c>
      <c r="O201" s="10">
        <v>47664</v>
      </c>
      <c r="P201" s="4">
        <f t="shared" ca="1" si="15"/>
        <v>2</v>
      </c>
      <c r="Q201" s="4">
        <f t="shared" ca="1" si="16"/>
        <v>3</v>
      </c>
      <c r="R201" s="4">
        <f t="shared" ca="1" si="17"/>
        <v>45</v>
      </c>
      <c r="S201" s="4"/>
      <c r="T201" s="4"/>
      <c r="U201" s="4"/>
      <c r="V201" s="4" t="s">
        <v>397</v>
      </c>
      <c r="W201" s="2"/>
      <c r="X201" s="4"/>
    </row>
    <row r="202" spans="1:24" x14ac:dyDescent="0.25">
      <c r="A202" s="1" t="s">
        <v>236</v>
      </c>
      <c r="B202" s="4"/>
      <c r="C202" s="5" t="s">
        <v>402</v>
      </c>
      <c r="D202" s="12">
        <v>57</v>
      </c>
      <c r="E202" s="2" t="s">
        <v>239</v>
      </c>
      <c r="F202" s="4" t="s">
        <v>23</v>
      </c>
      <c r="G202" s="4" t="s">
        <v>23</v>
      </c>
      <c r="H202" s="7">
        <v>36560</v>
      </c>
      <c r="I202" s="21">
        <f t="shared" ca="1" si="14"/>
        <v>26</v>
      </c>
      <c r="J202" s="8">
        <v>0</v>
      </c>
      <c r="K202" s="8">
        <v>0</v>
      </c>
      <c r="L202" s="8">
        <v>16000</v>
      </c>
      <c r="M202" s="8">
        <f>(Table2[[#This Row],[Salary/
Week]]*52)</f>
        <v>832000</v>
      </c>
      <c r="N202" s="9">
        <v>44718</v>
      </c>
      <c r="O202" s="10">
        <v>47299</v>
      </c>
      <c r="P202" s="4">
        <f t="shared" ca="1" si="15"/>
        <v>4</v>
      </c>
      <c r="Q202" s="4">
        <f t="shared" ca="1" si="16"/>
        <v>2</v>
      </c>
      <c r="R202" s="4">
        <f t="shared" ca="1" si="17"/>
        <v>33</v>
      </c>
      <c r="S202" s="4"/>
      <c r="T202" s="4"/>
      <c r="U202" s="4"/>
      <c r="V202" s="4" t="s">
        <v>397</v>
      </c>
      <c r="W202" s="2"/>
      <c r="X202" s="4"/>
    </row>
    <row r="203" spans="1:24" x14ac:dyDescent="0.25">
      <c r="A203" s="1" t="s">
        <v>236</v>
      </c>
      <c r="B203" s="4"/>
      <c r="C203" s="5" t="s">
        <v>400</v>
      </c>
      <c r="D203" s="12">
        <v>2</v>
      </c>
      <c r="E203" s="2" t="s">
        <v>240</v>
      </c>
      <c r="F203" s="4" t="s">
        <v>25</v>
      </c>
      <c r="G203" s="4" t="s">
        <v>25</v>
      </c>
      <c r="H203" s="7">
        <v>36080</v>
      </c>
      <c r="I203" s="21">
        <f t="shared" ca="1" si="14"/>
        <v>27</v>
      </c>
      <c r="J203" s="8">
        <v>250000</v>
      </c>
      <c r="K203" s="8">
        <v>50000000</v>
      </c>
      <c r="L203" s="8">
        <v>45000</v>
      </c>
      <c r="M203" s="8">
        <f>(Table2[[#This Row],[Salary/
Week]]*52)</f>
        <v>2340000</v>
      </c>
      <c r="N203" s="9">
        <v>44348</v>
      </c>
      <c r="O203" s="10">
        <v>46934</v>
      </c>
      <c r="P203" s="4">
        <f t="shared" ca="1" si="15"/>
        <v>5</v>
      </c>
      <c r="Q203" s="4">
        <f t="shared" ca="1" si="16"/>
        <v>1</v>
      </c>
      <c r="R203" s="4">
        <f t="shared" ca="1" si="17"/>
        <v>21</v>
      </c>
      <c r="S203" s="4"/>
      <c r="T203" s="4"/>
      <c r="U203" s="4"/>
      <c r="V203" s="4" t="s">
        <v>396</v>
      </c>
      <c r="W203" s="2"/>
      <c r="X203" s="4"/>
    </row>
    <row r="204" spans="1:24" x14ac:dyDescent="0.25">
      <c r="A204" s="1" t="s">
        <v>236</v>
      </c>
      <c r="B204" s="4"/>
      <c r="C204" s="5" t="s">
        <v>401</v>
      </c>
      <c r="D204" s="12">
        <v>41</v>
      </c>
      <c r="E204" s="2" t="s">
        <v>241</v>
      </c>
      <c r="F204" s="4" t="s">
        <v>25</v>
      </c>
      <c r="G204" s="4" t="s">
        <v>25</v>
      </c>
      <c r="H204" s="7">
        <v>37549</v>
      </c>
      <c r="I204" s="21">
        <f t="shared" ca="1" si="14"/>
        <v>23</v>
      </c>
      <c r="J204" s="8">
        <v>18000</v>
      </c>
      <c r="K204" s="8">
        <v>0</v>
      </c>
      <c r="L204" s="8">
        <v>30000</v>
      </c>
      <c r="M204" s="8">
        <f>(Table2[[#This Row],[Salary/
Week]]*52)</f>
        <v>1560000</v>
      </c>
      <c r="N204" s="9">
        <v>45472</v>
      </c>
      <c r="O204" s="10">
        <v>47664</v>
      </c>
      <c r="P204" s="4">
        <f t="shared" ca="1" si="15"/>
        <v>2</v>
      </c>
      <c r="Q204" s="4">
        <f t="shared" ca="1" si="16"/>
        <v>3</v>
      </c>
      <c r="R204" s="4">
        <f t="shared" ca="1" si="17"/>
        <v>45</v>
      </c>
      <c r="S204" s="4"/>
      <c r="T204" s="4"/>
      <c r="U204" s="4"/>
      <c r="V204" s="4" t="s">
        <v>396</v>
      </c>
      <c r="W204" s="2"/>
      <c r="X204" s="4"/>
    </row>
    <row r="205" spans="1:24" x14ac:dyDescent="0.25">
      <c r="A205" s="1" t="s">
        <v>236</v>
      </c>
      <c r="B205" s="4"/>
      <c r="C205" s="5" t="s">
        <v>400</v>
      </c>
      <c r="D205" s="12">
        <v>5</v>
      </c>
      <c r="E205" s="2" t="s">
        <v>242</v>
      </c>
      <c r="F205" s="4" t="s">
        <v>26</v>
      </c>
      <c r="G205" s="4" t="s">
        <v>26</v>
      </c>
      <c r="H205" s="7">
        <v>36984</v>
      </c>
      <c r="I205" s="21">
        <f t="shared" ref="I205:I274" ca="1" si="18">DATEDIF(H205,TODAY(),"Y")</f>
        <v>25</v>
      </c>
      <c r="J205" s="8">
        <v>0</v>
      </c>
      <c r="K205" s="8">
        <v>650000</v>
      </c>
      <c r="L205" s="8">
        <v>55000</v>
      </c>
      <c r="M205" s="8">
        <f>(Table2[[#This Row],[Salary/
Week]]*52)</f>
        <v>2860000</v>
      </c>
      <c r="N205" s="9">
        <v>45104</v>
      </c>
      <c r="O205" s="10">
        <v>47664</v>
      </c>
      <c r="P205" s="4">
        <f t="shared" ref="P205:P274" ca="1" si="19">DATEDIF(N205,TODAY(),"Y")</f>
        <v>3</v>
      </c>
      <c r="Q205" s="4">
        <f t="shared" ref="Q205:Q274" ca="1" si="20">DATEDIF(TODAY(),O205,"y")</f>
        <v>3</v>
      </c>
      <c r="R205" s="4">
        <f t="shared" ref="R205:R274" ca="1" si="21">DATEDIF(TODAY(),O205,"m")</f>
        <v>45</v>
      </c>
      <c r="S205" s="4"/>
      <c r="T205" s="4"/>
      <c r="U205" s="4"/>
      <c r="V205" s="4" t="s">
        <v>396</v>
      </c>
      <c r="W205" s="2"/>
      <c r="X205" s="4"/>
    </row>
    <row r="206" spans="1:24" x14ac:dyDescent="0.25">
      <c r="A206" s="1" t="s">
        <v>236</v>
      </c>
      <c r="B206" s="4"/>
      <c r="C206" s="5" t="s">
        <v>401</v>
      </c>
      <c r="D206" s="12">
        <v>24</v>
      </c>
      <c r="E206" s="2" t="s">
        <v>243</v>
      </c>
      <c r="F206" s="4" t="s">
        <v>26</v>
      </c>
      <c r="G206" s="4" t="s">
        <v>26</v>
      </c>
      <c r="H206" s="7">
        <v>36058</v>
      </c>
      <c r="I206" s="21">
        <f t="shared" ca="1" si="18"/>
        <v>27</v>
      </c>
      <c r="J206" s="8">
        <v>0</v>
      </c>
      <c r="K206" s="8">
        <v>300000</v>
      </c>
      <c r="L206" s="8">
        <v>12000</v>
      </c>
      <c r="M206" s="8">
        <f>(Table2[[#This Row],[Salary/
Week]]*52)</f>
        <v>624000</v>
      </c>
      <c r="N206" s="9">
        <v>44422</v>
      </c>
      <c r="O206" s="10">
        <v>46934</v>
      </c>
      <c r="P206" s="4">
        <f t="shared" ca="1" si="19"/>
        <v>5</v>
      </c>
      <c r="Q206" s="4">
        <f t="shared" ca="1" si="20"/>
        <v>1</v>
      </c>
      <c r="R206" s="4">
        <f t="shared" ca="1" si="21"/>
        <v>21</v>
      </c>
      <c r="S206" s="4"/>
      <c r="T206" s="4"/>
      <c r="U206" s="4"/>
      <c r="V206" s="4" t="s">
        <v>396</v>
      </c>
      <c r="W206" s="2"/>
      <c r="X206" s="4"/>
    </row>
    <row r="207" spans="1:24" x14ac:dyDescent="0.25">
      <c r="A207" s="1" t="s">
        <v>236</v>
      </c>
      <c r="B207" s="4"/>
      <c r="C207" s="5" t="s">
        <v>400</v>
      </c>
      <c r="D207" s="12">
        <v>6</v>
      </c>
      <c r="E207" s="2" t="s">
        <v>244</v>
      </c>
      <c r="F207" s="4" t="s">
        <v>26</v>
      </c>
      <c r="G207" s="4" t="s">
        <v>26</v>
      </c>
      <c r="H207" s="7">
        <v>37670</v>
      </c>
      <c r="I207" s="21">
        <f t="shared" ca="1" si="18"/>
        <v>23</v>
      </c>
      <c r="J207" s="8">
        <v>8000000</v>
      </c>
      <c r="K207" s="8">
        <v>9500000</v>
      </c>
      <c r="L207" s="8">
        <v>80000</v>
      </c>
      <c r="M207" s="8">
        <f>(Table2[[#This Row],[Salary/
Week]]*52)</f>
        <v>4160000</v>
      </c>
      <c r="N207" s="9">
        <v>45874</v>
      </c>
      <c r="O207" s="10">
        <v>47637</v>
      </c>
      <c r="P207" s="4">
        <f t="shared" ca="1" si="19"/>
        <v>1</v>
      </c>
      <c r="Q207" s="4">
        <f t="shared" ca="1" si="20"/>
        <v>3</v>
      </c>
      <c r="R207" s="4">
        <f t="shared" ca="1" si="21"/>
        <v>44</v>
      </c>
      <c r="S207" s="4"/>
      <c r="T207" s="4"/>
      <c r="U207" s="4"/>
      <c r="V207" s="4" t="s">
        <v>396</v>
      </c>
      <c r="W207" s="2"/>
      <c r="X207" s="4"/>
    </row>
    <row r="208" spans="1:24" x14ac:dyDescent="0.25">
      <c r="A208" s="1" t="s">
        <v>236</v>
      </c>
      <c r="B208" s="4"/>
      <c r="C208" s="5" t="s">
        <v>401</v>
      </c>
      <c r="D208" s="12">
        <v>30</v>
      </c>
      <c r="E208" s="2" t="s">
        <v>245</v>
      </c>
      <c r="F208" s="4" t="s">
        <v>26</v>
      </c>
      <c r="G208" s="4" t="s">
        <v>26</v>
      </c>
      <c r="H208" s="7">
        <v>38625</v>
      </c>
      <c r="I208" s="21">
        <f t="shared" ca="1" si="18"/>
        <v>20</v>
      </c>
      <c r="J208" s="8">
        <v>0</v>
      </c>
      <c r="K208" s="8">
        <v>0</v>
      </c>
      <c r="L208" s="8">
        <v>6000</v>
      </c>
      <c r="M208" s="8">
        <f>(Table2[[#This Row],[Salary/
Week]]*52)</f>
        <v>312000</v>
      </c>
      <c r="N208" s="9">
        <v>45099</v>
      </c>
      <c r="O208" s="10">
        <v>46568</v>
      </c>
      <c r="P208" s="4">
        <f t="shared" ca="1" si="19"/>
        <v>3</v>
      </c>
      <c r="Q208" s="4">
        <f t="shared" ca="1" si="20"/>
        <v>0</v>
      </c>
      <c r="R208" s="4">
        <f t="shared" ca="1" si="21"/>
        <v>9</v>
      </c>
      <c r="S208" s="4"/>
      <c r="T208" s="4"/>
      <c r="U208" s="4"/>
      <c r="V208" s="4" t="s">
        <v>397</v>
      </c>
      <c r="W208" s="2"/>
      <c r="X208" s="4"/>
    </row>
    <row r="209" spans="1:24" x14ac:dyDescent="0.25">
      <c r="A209" s="1" t="s">
        <v>236</v>
      </c>
      <c r="B209" s="4"/>
      <c r="C209" s="5" t="s">
        <v>401</v>
      </c>
      <c r="D209" s="12">
        <v>3</v>
      </c>
      <c r="E209" s="2" t="s">
        <v>246</v>
      </c>
      <c r="F209" s="4" t="s">
        <v>26</v>
      </c>
      <c r="G209" s="4" t="s">
        <v>26</v>
      </c>
      <c r="H209" s="7">
        <v>34674</v>
      </c>
      <c r="I209" s="21">
        <f t="shared" ca="1" si="18"/>
        <v>31</v>
      </c>
      <c r="J209" s="8">
        <v>0</v>
      </c>
      <c r="K209" s="8">
        <v>700000</v>
      </c>
      <c r="L209" s="8">
        <v>18000</v>
      </c>
      <c r="M209" s="8">
        <f>(Table2[[#This Row],[Salary/
Week]]*52)</f>
        <v>936000</v>
      </c>
      <c r="N209" s="9">
        <v>45100</v>
      </c>
      <c r="O209" s="10">
        <v>46934</v>
      </c>
      <c r="P209" s="4">
        <f t="shared" ca="1" si="19"/>
        <v>3</v>
      </c>
      <c r="Q209" s="4">
        <f t="shared" ca="1" si="20"/>
        <v>1</v>
      </c>
      <c r="R209" s="4">
        <f t="shared" ca="1" si="21"/>
        <v>21</v>
      </c>
      <c r="S209" s="4"/>
      <c r="T209" s="4"/>
      <c r="U209" s="4"/>
      <c r="V209" s="4" t="s">
        <v>397</v>
      </c>
      <c r="W209" s="2"/>
      <c r="X209" s="4"/>
    </row>
    <row r="210" spans="1:24" x14ac:dyDescent="0.25">
      <c r="A210" s="1" t="s">
        <v>236</v>
      </c>
      <c r="B210" s="4"/>
      <c r="C210" s="5" t="s">
        <v>400</v>
      </c>
      <c r="D210" s="12">
        <v>4</v>
      </c>
      <c r="E210" s="2" t="s">
        <v>247</v>
      </c>
      <c r="F210" s="4" t="s">
        <v>27</v>
      </c>
      <c r="G210" s="4" t="s">
        <v>27</v>
      </c>
      <c r="H210" s="7">
        <v>35234</v>
      </c>
      <c r="I210" s="21">
        <f t="shared" ca="1" si="18"/>
        <v>30</v>
      </c>
      <c r="J210" s="8">
        <v>10000</v>
      </c>
      <c r="K210" s="8">
        <v>30000</v>
      </c>
      <c r="L210" s="8">
        <v>25000</v>
      </c>
      <c r="M210" s="8">
        <f>(Table2[[#This Row],[Salary/
Week]]*52)</f>
        <v>1300000</v>
      </c>
      <c r="N210" s="9">
        <v>45486</v>
      </c>
      <c r="O210" s="10">
        <v>46568</v>
      </c>
      <c r="P210" s="4">
        <f t="shared" ca="1" si="19"/>
        <v>2</v>
      </c>
      <c r="Q210" s="4">
        <f t="shared" ca="1" si="20"/>
        <v>0</v>
      </c>
      <c r="R210" s="4">
        <f t="shared" ca="1" si="21"/>
        <v>9</v>
      </c>
      <c r="S210" s="4"/>
      <c r="T210" s="4"/>
      <c r="U210" s="4"/>
      <c r="V210" s="4" t="s">
        <v>397</v>
      </c>
      <c r="W210" s="2"/>
      <c r="X210" s="4"/>
    </row>
    <row r="211" spans="1:24" x14ac:dyDescent="0.25">
      <c r="A211" s="1" t="s">
        <v>236</v>
      </c>
      <c r="B211" s="4"/>
      <c r="C211" s="5" t="s">
        <v>401</v>
      </c>
      <c r="D211" s="12">
        <v>17</v>
      </c>
      <c r="E211" s="2" t="s">
        <v>248</v>
      </c>
      <c r="F211" s="4" t="s">
        <v>27</v>
      </c>
      <c r="G211" s="4" t="s">
        <v>27</v>
      </c>
      <c r="H211" s="7">
        <v>38272</v>
      </c>
      <c r="I211" s="21">
        <f t="shared" ca="1" si="18"/>
        <v>21</v>
      </c>
      <c r="J211" s="8">
        <v>0</v>
      </c>
      <c r="K211" s="8">
        <v>0</v>
      </c>
      <c r="L211" s="8">
        <v>25000</v>
      </c>
      <c r="M211" s="8">
        <f>(Table2[[#This Row],[Salary/
Week]]*52)</f>
        <v>1300000</v>
      </c>
      <c r="N211" s="9">
        <v>44778</v>
      </c>
      <c r="O211" s="10">
        <v>47299</v>
      </c>
      <c r="P211" s="4">
        <f t="shared" ca="1" si="19"/>
        <v>4</v>
      </c>
      <c r="Q211" s="4">
        <f t="shared" ca="1" si="20"/>
        <v>2</v>
      </c>
      <c r="R211" s="4">
        <f t="shared" ca="1" si="21"/>
        <v>33</v>
      </c>
      <c r="S211" s="4"/>
      <c r="T211" s="4"/>
      <c r="U211" s="4"/>
      <c r="V211" s="4" t="s">
        <v>397</v>
      </c>
      <c r="W211" s="2"/>
      <c r="X211" s="4"/>
    </row>
    <row r="212" spans="1:24" x14ac:dyDescent="0.25">
      <c r="A212" s="1" t="s">
        <v>236</v>
      </c>
      <c r="B212" s="4"/>
      <c r="C212" s="5" t="s">
        <v>400</v>
      </c>
      <c r="D212" s="12">
        <v>19</v>
      </c>
      <c r="E212" s="2" t="s">
        <v>250</v>
      </c>
      <c r="F212" s="4" t="s">
        <v>28</v>
      </c>
      <c r="G212" s="4" t="s">
        <v>28</v>
      </c>
      <c r="H212" s="7">
        <v>37140</v>
      </c>
      <c r="I212" s="21">
        <f t="shared" ca="1" si="18"/>
        <v>25</v>
      </c>
      <c r="J212" s="8">
        <v>600000</v>
      </c>
      <c r="K212" s="8">
        <v>5000000</v>
      </c>
      <c r="L212" s="8">
        <v>100000</v>
      </c>
      <c r="M212" s="8">
        <f>(Table2[[#This Row],[Salary/
Week]]*52)</f>
        <v>5200000</v>
      </c>
      <c r="N212" s="9">
        <v>44400</v>
      </c>
      <c r="O212" s="10">
        <v>46934</v>
      </c>
      <c r="P212" s="4">
        <f t="shared" ca="1" si="19"/>
        <v>5</v>
      </c>
      <c r="Q212" s="4">
        <f t="shared" ca="1" si="20"/>
        <v>1</v>
      </c>
      <c r="R212" s="4">
        <f t="shared" ca="1" si="21"/>
        <v>21</v>
      </c>
      <c r="S212" s="4"/>
      <c r="T212" s="4"/>
      <c r="U212" s="4"/>
      <c r="V212" s="4" t="s">
        <v>397</v>
      </c>
      <c r="W212" s="2"/>
      <c r="X212" s="4"/>
    </row>
    <row r="213" spans="1:24" x14ac:dyDescent="0.25">
      <c r="A213" s="1" t="s">
        <v>236</v>
      </c>
      <c r="B213" s="4"/>
      <c r="C213" s="5" t="s">
        <v>402</v>
      </c>
      <c r="D213" s="12">
        <v>4</v>
      </c>
      <c r="E213" s="2" t="s">
        <v>664</v>
      </c>
      <c r="F213" s="4" t="s">
        <v>28</v>
      </c>
      <c r="G213" s="4" t="s">
        <v>29</v>
      </c>
      <c r="H213" s="7">
        <v>37690</v>
      </c>
      <c r="I213" s="21">
        <f ca="1">DATEDIF(H213,TODAY(),"Y")</f>
        <v>23</v>
      </c>
      <c r="J213" s="8">
        <v>1000000</v>
      </c>
      <c r="K213" s="8">
        <v>3000000</v>
      </c>
      <c r="L213" s="8">
        <v>45000</v>
      </c>
      <c r="M213" s="8">
        <f>(Table2[[#This Row],[Salary/
Week]]*52)</f>
        <v>2340000</v>
      </c>
      <c r="N213" s="9">
        <v>46253</v>
      </c>
      <c r="O213" s="10">
        <v>47664</v>
      </c>
      <c r="P213" s="4">
        <f ca="1">DATEDIF(N213,TODAY(),"Y")</f>
        <v>0</v>
      </c>
      <c r="Q213" s="4">
        <f t="shared" ca="1" si="20"/>
        <v>3</v>
      </c>
      <c r="R213" s="4">
        <f ca="1">DATEDIF(TODAY(),O213,"m")</f>
        <v>45</v>
      </c>
      <c r="S213" s="4"/>
      <c r="T213" s="4"/>
      <c r="U213" s="4"/>
      <c r="V213" s="4" t="s">
        <v>397</v>
      </c>
      <c r="W213" s="2" t="s">
        <v>538</v>
      </c>
      <c r="X213" s="4"/>
    </row>
    <row r="214" spans="1:24" x14ac:dyDescent="0.25">
      <c r="A214" s="1" t="s">
        <v>236</v>
      </c>
      <c r="B214" s="4"/>
      <c r="C214" s="5" t="s">
        <v>401</v>
      </c>
      <c r="D214" s="12">
        <v>18</v>
      </c>
      <c r="E214" s="2" t="s">
        <v>447</v>
      </c>
      <c r="F214" s="4" t="s">
        <v>28</v>
      </c>
      <c r="G214" s="4" t="s">
        <v>29</v>
      </c>
      <c r="H214" s="7">
        <v>37750</v>
      </c>
      <c r="I214" s="21">
        <f ca="1">DATEDIF(H214,TODAY(),"Y")</f>
        <v>23</v>
      </c>
      <c r="J214" s="8">
        <v>25000000</v>
      </c>
      <c r="K214" s="8">
        <v>25000000</v>
      </c>
      <c r="L214" s="8">
        <v>100000</v>
      </c>
      <c r="M214" s="8">
        <f>(Table2[[#This Row],[Salary/
Week]]*52)</f>
        <v>5200000</v>
      </c>
      <c r="N214" s="9">
        <v>46196</v>
      </c>
      <c r="O214" s="10">
        <v>48029</v>
      </c>
      <c r="P214" s="4">
        <f ca="1">DATEDIF(N214,TODAY(),"Y")</f>
        <v>0</v>
      </c>
      <c r="Q214" s="4">
        <f ca="1">DATEDIF(TODAY(),O214,"y")</f>
        <v>4</v>
      </c>
      <c r="R214" s="4">
        <f ca="1">DATEDIF(TODAY(),O214,"m")</f>
        <v>57</v>
      </c>
      <c r="S214" s="4"/>
      <c r="T214" s="4"/>
      <c r="U214" s="4"/>
      <c r="V214" s="4" t="s">
        <v>397</v>
      </c>
      <c r="W214" s="2"/>
      <c r="X214" s="4"/>
    </row>
    <row r="215" spans="1:24" x14ac:dyDescent="0.25">
      <c r="A215" s="1" t="s">
        <v>236</v>
      </c>
      <c r="B215" s="4"/>
      <c r="C215" s="5" t="s">
        <v>401</v>
      </c>
      <c r="D215" s="12">
        <v>11</v>
      </c>
      <c r="E215" s="2" t="s">
        <v>251</v>
      </c>
      <c r="F215" s="4" t="s">
        <v>29</v>
      </c>
      <c r="G215" s="4" t="s">
        <v>29</v>
      </c>
      <c r="H215" s="7">
        <v>35547</v>
      </c>
      <c r="I215" s="21">
        <f t="shared" ca="1" si="18"/>
        <v>29</v>
      </c>
      <c r="J215" s="8">
        <v>0</v>
      </c>
      <c r="K215" s="8">
        <v>3000000</v>
      </c>
      <c r="L215" s="8">
        <v>18800</v>
      </c>
      <c r="M215" s="8">
        <f>(Table2[[#This Row],[Salary/
Week]]*52)</f>
        <v>977600</v>
      </c>
      <c r="N215" s="9">
        <v>44373</v>
      </c>
      <c r="O215" s="10">
        <v>46934</v>
      </c>
      <c r="P215" s="4">
        <f t="shared" ca="1" si="19"/>
        <v>5</v>
      </c>
      <c r="Q215" s="4">
        <f t="shared" ca="1" si="20"/>
        <v>1</v>
      </c>
      <c r="R215" s="4">
        <f t="shared" ca="1" si="21"/>
        <v>21</v>
      </c>
      <c r="S215" s="4"/>
      <c r="T215" s="4"/>
      <c r="U215" s="4"/>
      <c r="V215" s="4" t="s">
        <v>397</v>
      </c>
      <c r="W215" s="2"/>
      <c r="X215" s="4"/>
    </row>
    <row r="216" spans="1:24" x14ac:dyDescent="0.25">
      <c r="A216" s="1" t="s">
        <v>236</v>
      </c>
      <c r="B216" s="4" t="s">
        <v>47</v>
      </c>
      <c r="C216" s="5" t="s">
        <v>400</v>
      </c>
      <c r="D216" s="12">
        <v>8</v>
      </c>
      <c r="E216" s="2" t="s">
        <v>252</v>
      </c>
      <c r="F216" s="4" t="s">
        <v>29</v>
      </c>
      <c r="G216" s="4" t="s">
        <v>30</v>
      </c>
      <c r="H216" s="7">
        <v>36624</v>
      </c>
      <c r="I216" s="21">
        <f t="shared" ca="1" si="18"/>
        <v>26</v>
      </c>
      <c r="J216" s="8">
        <v>900000</v>
      </c>
      <c r="K216" s="8">
        <v>7500000</v>
      </c>
      <c r="L216" s="8">
        <v>50000</v>
      </c>
      <c r="M216" s="8">
        <f>(Table2[[#This Row],[Salary/
Week]]*52)</f>
        <v>2600000</v>
      </c>
      <c r="N216" s="9">
        <v>44366</v>
      </c>
      <c r="O216" s="10">
        <v>46934</v>
      </c>
      <c r="P216" s="4">
        <f t="shared" ca="1" si="19"/>
        <v>5</v>
      </c>
      <c r="Q216" s="4">
        <f t="shared" ca="1" si="20"/>
        <v>1</v>
      </c>
      <c r="R216" s="4">
        <f t="shared" ca="1" si="21"/>
        <v>21</v>
      </c>
      <c r="S216" s="4"/>
      <c r="T216" s="4"/>
      <c r="U216" s="4"/>
      <c r="V216" s="4" t="s">
        <v>396</v>
      </c>
      <c r="W216" s="2" t="s">
        <v>479</v>
      </c>
      <c r="X216" s="4"/>
    </row>
    <row r="217" spans="1:24" x14ac:dyDescent="0.25">
      <c r="A217" s="1" t="s">
        <v>236</v>
      </c>
      <c r="B217" s="4"/>
      <c r="C217" s="5" t="s">
        <v>401</v>
      </c>
      <c r="D217" s="12">
        <v>33</v>
      </c>
      <c r="E217" s="2" t="s">
        <v>253</v>
      </c>
      <c r="F217" s="4" t="s">
        <v>30</v>
      </c>
      <c r="G217" s="4" t="s">
        <v>30</v>
      </c>
      <c r="H217" s="7">
        <v>38773</v>
      </c>
      <c r="I217" s="21">
        <f t="shared" ca="1" si="18"/>
        <v>20</v>
      </c>
      <c r="J217" s="8">
        <v>0</v>
      </c>
      <c r="K217" s="8">
        <v>10000000</v>
      </c>
      <c r="L217" s="8">
        <v>45000</v>
      </c>
      <c r="M217" s="8">
        <f>(Table2[[#This Row],[Salary/
Week]]*52)</f>
        <v>2340000</v>
      </c>
      <c r="N217" s="9">
        <v>45874</v>
      </c>
      <c r="O217" s="10">
        <v>47299</v>
      </c>
      <c r="P217" s="4">
        <f t="shared" ca="1" si="19"/>
        <v>1</v>
      </c>
      <c r="Q217" s="4">
        <f t="shared" ca="1" si="20"/>
        <v>2</v>
      </c>
      <c r="R217" s="4">
        <f t="shared" ca="1" si="21"/>
        <v>33</v>
      </c>
      <c r="S217" s="4"/>
      <c r="T217" s="4"/>
      <c r="U217" s="4"/>
      <c r="V217" s="4" t="s">
        <v>397</v>
      </c>
      <c r="W217" s="2"/>
      <c r="X217" s="4"/>
    </row>
    <row r="218" spans="1:24" x14ac:dyDescent="0.25">
      <c r="A218" s="1" t="s">
        <v>236</v>
      </c>
      <c r="B218" s="4"/>
      <c r="C218" s="5" t="s">
        <v>400</v>
      </c>
      <c r="D218" s="12">
        <v>12</v>
      </c>
      <c r="E218" s="2" t="s">
        <v>662</v>
      </c>
      <c r="F218" s="4" t="s">
        <v>30</v>
      </c>
      <c r="G218" s="4" t="s">
        <v>30</v>
      </c>
      <c r="H218" s="7">
        <v>37835</v>
      </c>
      <c r="I218" s="21">
        <f ca="1">DATEDIF(H218,TODAY(),"Y")</f>
        <v>23</v>
      </c>
      <c r="J218" s="8">
        <v>25000000</v>
      </c>
      <c r="K218" s="8">
        <v>30000000</v>
      </c>
      <c r="L218" s="8">
        <v>120000</v>
      </c>
      <c r="M218" s="8">
        <f>(Table2[[#This Row],[Salary/
Week]]*52)</f>
        <v>6240000</v>
      </c>
      <c r="N218" s="9">
        <v>46253</v>
      </c>
      <c r="O218" s="10">
        <v>49125</v>
      </c>
      <c r="P218" s="4">
        <f ca="1">DATEDIF(N218,TODAY(),"Y")</f>
        <v>0</v>
      </c>
      <c r="Q218" s="4">
        <f ca="1">DATEDIF(TODAY(),O218,"y")</f>
        <v>7</v>
      </c>
      <c r="R218" s="4">
        <f t="shared" ca="1" si="21"/>
        <v>93</v>
      </c>
      <c r="S218" s="4"/>
      <c r="T218" s="4"/>
      <c r="U218" s="4"/>
      <c r="V218" s="4" t="s">
        <v>396</v>
      </c>
      <c r="W218" s="2" t="s">
        <v>477</v>
      </c>
      <c r="X218" s="4"/>
    </row>
    <row r="219" spans="1:24" x14ac:dyDescent="0.25">
      <c r="A219" s="1" t="s">
        <v>236</v>
      </c>
      <c r="B219" s="4"/>
      <c r="C219" s="5" t="s">
        <v>400</v>
      </c>
      <c r="D219" s="12">
        <v>20</v>
      </c>
      <c r="E219" s="2" t="s">
        <v>254</v>
      </c>
      <c r="F219" s="4" t="s">
        <v>32</v>
      </c>
      <c r="G219" s="4" t="s">
        <v>35</v>
      </c>
      <c r="H219" s="7">
        <v>36871</v>
      </c>
      <c r="I219" s="21">
        <f t="shared" ca="1" si="18"/>
        <v>25</v>
      </c>
      <c r="J219" s="8">
        <v>15000000</v>
      </c>
      <c r="K219" s="8">
        <v>10000000</v>
      </c>
      <c r="L219" s="8">
        <v>55000</v>
      </c>
      <c r="M219" s="8">
        <f>(Table2[[#This Row],[Salary/
Week]]*52)</f>
        <v>2860000</v>
      </c>
      <c r="N219" s="9">
        <v>45874</v>
      </c>
      <c r="O219" s="10">
        <v>46934</v>
      </c>
      <c r="P219" s="4">
        <f t="shared" ca="1" si="19"/>
        <v>1</v>
      </c>
      <c r="Q219" s="4">
        <f t="shared" ca="1" si="20"/>
        <v>1</v>
      </c>
      <c r="R219" s="4">
        <f t="shared" ca="1" si="21"/>
        <v>21</v>
      </c>
      <c r="S219" s="4"/>
      <c r="T219" s="4"/>
      <c r="U219" s="4"/>
      <c r="V219" s="4" t="s">
        <v>397</v>
      </c>
      <c r="W219" s="2"/>
      <c r="X219" s="4"/>
    </row>
    <row r="220" spans="1:24" x14ac:dyDescent="0.25">
      <c r="A220" s="1" t="s">
        <v>236</v>
      </c>
      <c r="B220" s="4"/>
      <c r="C220" s="5" t="s">
        <v>401</v>
      </c>
      <c r="D220" s="12">
        <v>50</v>
      </c>
      <c r="E220" s="2" t="s">
        <v>255</v>
      </c>
      <c r="F220" s="4" t="s">
        <v>32</v>
      </c>
      <c r="G220" s="4" t="s">
        <v>32</v>
      </c>
      <c r="H220" s="7">
        <v>39227</v>
      </c>
      <c r="I220" s="21">
        <f t="shared" ca="1" si="18"/>
        <v>19</v>
      </c>
      <c r="J220" s="8">
        <v>10000</v>
      </c>
      <c r="K220" s="8">
        <v>500000</v>
      </c>
      <c r="L220" s="8">
        <v>19000</v>
      </c>
      <c r="M220" s="8">
        <f>(Table2[[#This Row],[Salary/
Week]]*52)</f>
        <v>988000</v>
      </c>
      <c r="N220" s="9">
        <v>45874</v>
      </c>
      <c r="O220" s="10">
        <v>48760</v>
      </c>
      <c r="P220" s="4">
        <f t="shared" ca="1" si="19"/>
        <v>1</v>
      </c>
      <c r="Q220" s="4">
        <f t="shared" ca="1" si="20"/>
        <v>6</v>
      </c>
      <c r="R220" s="4">
        <f t="shared" ca="1" si="21"/>
        <v>81</v>
      </c>
      <c r="S220" s="4"/>
      <c r="T220" s="4"/>
      <c r="U220" s="4"/>
      <c r="V220" s="4" t="s">
        <v>397</v>
      </c>
      <c r="W220" s="2"/>
      <c r="X220" s="4"/>
    </row>
    <row r="221" spans="1:24" x14ac:dyDescent="0.25">
      <c r="A221" s="1" t="s">
        <v>236</v>
      </c>
      <c r="B221" s="4"/>
      <c r="C221" s="5" t="s">
        <v>400</v>
      </c>
      <c r="D221" s="12">
        <v>10</v>
      </c>
      <c r="E221" s="2" t="s">
        <v>256</v>
      </c>
      <c r="F221" s="4" t="s">
        <v>31</v>
      </c>
      <c r="G221" s="4" t="s">
        <v>31</v>
      </c>
      <c r="H221" s="7">
        <v>36227</v>
      </c>
      <c r="I221" s="21">
        <f t="shared" ca="1" si="18"/>
        <v>27</v>
      </c>
      <c r="J221" s="8">
        <v>0</v>
      </c>
      <c r="K221" s="8">
        <v>20000000</v>
      </c>
      <c r="L221" s="8">
        <v>46000</v>
      </c>
      <c r="M221" s="8">
        <f>(Table2[[#This Row],[Salary/
Week]]*52)</f>
        <v>2392000</v>
      </c>
      <c r="N221" s="9">
        <v>45478</v>
      </c>
      <c r="O221" s="10">
        <v>47664</v>
      </c>
      <c r="P221" s="4">
        <f t="shared" ca="1" si="19"/>
        <v>2</v>
      </c>
      <c r="Q221" s="4">
        <f t="shared" ca="1" si="20"/>
        <v>3</v>
      </c>
      <c r="R221" s="4">
        <f t="shared" ca="1" si="21"/>
        <v>45</v>
      </c>
      <c r="S221" s="4"/>
      <c r="T221" s="4"/>
      <c r="U221" s="4"/>
      <c r="V221" s="4" t="s">
        <v>397</v>
      </c>
      <c r="W221" s="2"/>
      <c r="X221" s="4"/>
    </row>
    <row r="222" spans="1:24" x14ac:dyDescent="0.25">
      <c r="A222" s="1" t="s">
        <v>236</v>
      </c>
      <c r="B222" s="4"/>
      <c r="C222" s="5" t="s">
        <v>401</v>
      </c>
      <c r="D222" s="12">
        <v>7</v>
      </c>
      <c r="E222" s="2" t="s">
        <v>257</v>
      </c>
      <c r="F222" s="4" t="s">
        <v>31</v>
      </c>
      <c r="G222" s="4" t="s">
        <v>31</v>
      </c>
      <c r="H222" s="7">
        <v>36318</v>
      </c>
      <c r="I222" s="21">
        <f t="shared" ca="1" si="18"/>
        <v>27</v>
      </c>
      <c r="J222" s="8">
        <v>0</v>
      </c>
      <c r="K222" s="8">
        <v>0</v>
      </c>
      <c r="L222" s="8">
        <v>13000</v>
      </c>
      <c r="M222" s="8">
        <f>(Table2[[#This Row],[Salary/
Week]]*52)</f>
        <v>676000</v>
      </c>
      <c r="N222" s="9">
        <v>44204</v>
      </c>
      <c r="O222" s="10">
        <v>46568</v>
      </c>
      <c r="P222" s="4">
        <f t="shared" ca="1" si="19"/>
        <v>5</v>
      </c>
      <c r="Q222" s="4">
        <f t="shared" ca="1" si="20"/>
        <v>0</v>
      </c>
      <c r="R222" s="4">
        <f t="shared" ca="1" si="21"/>
        <v>9</v>
      </c>
      <c r="S222" s="4"/>
      <c r="T222" s="4"/>
      <c r="U222" s="4"/>
      <c r="V222" s="4" t="s">
        <v>397</v>
      </c>
      <c r="W222" s="2"/>
      <c r="X222" s="4"/>
    </row>
    <row r="223" spans="1:24" x14ac:dyDescent="0.25">
      <c r="A223" s="1" t="s">
        <v>236</v>
      </c>
      <c r="B223" s="4"/>
      <c r="C223" s="5" t="s">
        <v>401</v>
      </c>
      <c r="D223" s="12">
        <v>49</v>
      </c>
      <c r="E223" s="2" t="s">
        <v>258</v>
      </c>
      <c r="F223" s="4" t="s">
        <v>35</v>
      </c>
      <c r="G223" s="4" t="s">
        <v>35</v>
      </c>
      <c r="H223" s="7">
        <v>37867</v>
      </c>
      <c r="I223" s="21">
        <f t="shared" ca="1" si="18"/>
        <v>23</v>
      </c>
      <c r="J223" s="8">
        <v>0</v>
      </c>
      <c r="K223" s="8">
        <v>800000</v>
      </c>
      <c r="L223" s="8">
        <v>7000</v>
      </c>
      <c r="M223" s="8">
        <f>(Table2[[#This Row],[Salary/
Week]]*52)</f>
        <v>364000</v>
      </c>
      <c r="N223" s="9">
        <v>45140</v>
      </c>
      <c r="O223" s="10">
        <v>46934</v>
      </c>
      <c r="P223" s="4">
        <f t="shared" ca="1" si="19"/>
        <v>3</v>
      </c>
      <c r="Q223" s="4">
        <f t="shared" ca="1" si="20"/>
        <v>1</v>
      </c>
      <c r="R223" s="4">
        <f t="shared" ca="1" si="21"/>
        <v>21</v>
      </c>
      <c r="S223" s="4"/>
      <c r="T223" s="4"/>
      <c r="U223" s="4"/>
      <c r="V223" s="4" t="s">
        <v>396</v>
      </c>
      <c r="W223" s="2"/>
      <c r="X223" s="4"/>
    </row>
    <row r="224" spans="1:24" x14ac:dyDescent="0.25">
      <c r="A224" s="1" t="s">
        <v>236</v>
      </c>
      <c r="B224" s="4"/>
      <c r="C224" s="5" t="s">
        <v>400</v>
      </c>
      <c r="D224" s="12">
        <v>20</v>
      </c>
      <c r="E224" s="2" t="s">
        <v>281</v>
      </c>
      <c r="F224" s="4" t="s">
        <v>36</v>
      </c>
      <c r="G224" s="4" t="s">
        <v>35</v>
      </c>
      <c r="H224" s="7">
        <v>37953</v>
      </c>
      <c r="I224" s="21">
        <f ca="1">DATEDIF(H224,TODAY(),"Y")</f>
        <v>22</v>
      </c>
      <c r="J224" s="8">
        <v>70000000</v>
      </c>
      <c r="K224" s="8">
        <v>60000000</v>
      </c>
      <c r="L224" s="8">
        <v>255000</v>
      </c>
      <c r="M224" s="8">
        <f>(Table2[[#This Row],[Salary/
Week]]*52)</f>
        <v>13260000</v>
      </c>
      <c r="N224" s="9">
        <v>46225</v>
      </c>
      <c r="O224" s="10">
        <v>50221</v>
      </c>
      <c r="P224" s="4">
        <f ca="1">DATEDIF(N224,TODAY(),"Y")</f>
        <v>0</v>
      </c>
      <c r="Q224" s="4">
        <f ca="1">DATEDIF(TODAY(),O224,"y")</f>
        <v>10</v>
      </c>
      <c r="R224" s="4">
        <f ca="1">DATEDIF(TODAY(),O224,"m")</f>
        <v>129</v>
      </c>
      <c r="S224" s="4"/>
      <c r="T224" s="4"/>
      <c r="U224" s="4"/>
      <c r="V224" s="4" t="s">
        <v>398</v>
      </c>
      <c r="W224" s="2"/>
      <c r="X224" s="4"/>
    </row>
    <row r="225" spans="1:24" x14ac:dyDescent="0.25">
      <c r="A225" s="1" t="s">
        <v>260</v>
      </c>
      <c r="B225" s="4"/>
      <c r="C225" s="5" t="s">
        <v>400</v>
      </c>
      <c r="D225" s="12">
        <v>33</v>
      </c>
      <c r="E225" s="2" t="s">
        <v>261</v>
      </c>
      <c r="F225" s="4" t="s">
        <v>23</v>
      </c>
      <c r="G225" s="4" t="s">
        <v>23</v>
      </c>
      <c r="H225" s="7">
        <v>37245</v>
      </c>
      <c r="I225" s="21">
        <f t="shared" ca="1" si="18"/>
        <v>24</v>
      </c>
      <c r="J225" s="8">
        <v>0</v>
      </c>
      <c r="K225" s="8">
        <v>30000000</v>
      </c>
      <c r="L225" s="8">
        <v>50000</v>
      </c>
      <c r="M225" s="8">
        <f>(Table2[[#This Row],[Salary/
Week]]*52)</f>
        <v>2600000</v>
      </c>
      <c r="N225" s="9">
        <v>45492</v>
      </c>
      <c r="O225" s="10">
        <v>46934</v>
      </c>
      <c r="P225" s="4">
        <f t="shared" ca="1" si="19"/>
        <v>2</v>
      </c>
      <c r="Q225" s="4">
        <f t="shared" ca="1" si="20"/>
        <v>1</v>
      </c>
      <c r="R225" s="4">
        <f t="shared" ca="1" si="21"/>
        <v>21</v>
      </c>
      <c r="S225" s="4"/>
      <c r="T225" s="4"/>
      <c r="U225" s="4"/>
      <c r="V225" s="4" t="s">
        <v>397</v>
      </c>
      <c r="W225" s="2"/>
      <c r="X225" s="4"/>
    </row>
    <row r="226" spans="1:24" x14ac:dyDescent="0.25">
      <c r="A226" s="1" t="s">
        <v>260</v>
      </c>
      <c r="B226" s="4"/>
      <c r="C226" s="5" t="s">
        <v>401</v>
      </c>
      <c r="D226" s="12">
        <v>1</v>
      </c>
      <c r="E226" s="2" t="s">
        <v>262</v>
      </c>
      <c r="F226" s="4" t="s">
        <v>23</v>
      </c>
      <c r="G226" s="4" t="s">
        <v>23</v>
      </c>
      <c r="H226" s="7">
        <v>32557</v>
      </c>
      <c r="I226" s="21">
        <f t="shared" ca="1" si="18"/>
        <v>37</v>
      </c>
      <c r="J226" s="8">
        <v>200000</v>
      </c>
      <c r="K226" s="8">
        <v>300000</v>
      </c>
      <c r="L226" s="8">
        <v>30000</v>
      </c>
      <c r="M226" s="8">
        <f>(Table2[[#This Row],[Salary/
Week]]*52)</f>
        <v>1560000</v>
      </c>
      <c r="N226" s="9">
        <v>44759</v>
      </c>
      <c r="O226" s="10">
        <v>46934</v>
      </c>
      <c r="P226" s="4">
        <f t="shared" ca="1" si="19"/>
        <v>4</v>
      </c>
      <c r="Q226" s="4">
        <f t="shared" ca="1" si="20"/>
        <v>1</v>
      </c>
      <c r="R226" s="4">
        <f t="shared" ca="1" si="21"/>
        <v>21</v>
      </c>
      <c r="S226" s="4"/>
      <c r="T226" s="4"/>
      <c r="U226" s="4"/>
      <c r="V226" s="4" t="s">
        <v>397</v>
      </c>
      <c r="W226" s="2"/>
      <c r="X226" s="4"/>
    </row>
    <row r="227" spans="1:24" x14ac:dyDescent="0.25">
      <c r="A227" s="1" t="s">
        <v>260</v>
      </c>
      <c r="B227" s="4"/>
      <c r="C227" s="5" t="s">
        <v>400</v>
      </c>
      <c r="D227" s="12">
        <v>4</v>
      </c>
      <c r="E227" s="2" t="s">
        <v>263</v>
      </c>
      <c r="F227" s="4" t="s">
        <v>25</v>
      </c>
      <c r="G227" s="4" t="s">
        <v>33</v>
      </c>
      <c r="H227" s="7">
        <v>36255</v>
      </c>
      <c r="I227" s="21">
        <f t="shared" ca="1" si="18"/>
        <v>27</v>
      </c>
      <c r="J227" s="8">
        <v>500000</v>
      </c>
      <c r="K227" s="8">
        <v>700000</v>
      </c>
      <c r="L227" s="8">
        <v>45000</v>
      </c>
      <c r="M227" s="8">
        <f>(Table2[[#This Row],[Salary/
Week]]*52)</f>
        <v>2340000</v>
      </c>
      <c r="N227" s="9">
        <v>44587</v>
      </c>
      <c r="O227" s="10">
        <v>46934</v>
      </c>
      <c r="P227" s="4">
        <f t="shared" ca="1" si="19"/>
        <v>4</v>
      </c>
      <c r="Q227" s="4">
        <f t="shared" ca="1" si="20"/>
        <v>1</v>
      </c>
      <c r="R227" s="4">
        <f t="shared" ca="1" si="21"/>
        <v>21</v>
      </c>
      <c r="S227" s="4"/>
      <c r="T227" s="4"/>
      <c r="U227" s="4"/>
      <c r="V227" s="4" t="s">
        <v>396</v>
      </c>
      <c r="W227" s="2"/>
      <c r="X227" s="4"/>
    </row>
    <row r="228" spans="1:24" x14ac:dyDescent="0.25">
      <c r="A228" s="1" t="s">
        <v>260</v>
      </c>
      <c r="B228" s="4"/>
      <c r="C228" s="5" t="s">
        <v>401</v>
      </c>
      <c r="D228" s="12">
        <v>24</v>
      </c>
      <c r="E228" s="2" t="s">
        <v>264</v>
      </c>
      <c r="F228" s="4" t="s">
        <v>25</v>
      </c>
      <c r="G228" s="4" t="s">
        <v>33</v>
      </c>
      <c r="H228" s="7">
        <v>37069</v>
      </c>
      <c r="I228" s="21">
        <f t="shared" ca="1" si="18"/>
        <v>25</v>
      </c>
      <c r="J228" s="8">
        <v>0</v>
      </c>
      <c r="K228" s="8">
        <v>1000000</v>
      </c>
      <c r="L228" s="8">
        <v>25000</v>
      </c>
      <c r="M228" s="8">
        <f>(Table2[[#This Row],[Salary/
Week]]*52)</f>
        <v>1300000</v>
      </c>
      <c r="N228" s="9">
        <v>45488</v>
      </c>
      <c r="O228" s="10">
        <v>47299</v>
      </c>
      <c r="P228" s="4">
        <f t="shared" ca="1" si="19"/>
        <v>2</v>
      </c>
      <c r="Q228" s="4">
        <f t="shared" ca="1" si="20"/>
        <v>2</v>
      </c>
      <c r="R228" s="4">
        <f t="shared" ca="1" si="21"/>
        <v>33</v>
      </c>
      <c r="S228" s="4"/>
      <c r="T228" s="4"/>
      <c r="U228" s="4"/>
      <c r="V228" s="4" t="s">
        <v>398</v>
      </c>
      <c r="W228" s="2"/>
      <c r="X228" s="4"/>
    </row>
    <row r="229" spans="1:24" x14ac:dyDescent="0.25">
      <c r="A229" s="1" t="s">
        <v>260</v>
      </c>
      <c r="B229" s="4"/>
      <c r="C229" s="5" t="s">
        <v>401</v>
      </c>
      <c r="D229" s="12">
        <v>3</v>
      </c>
      <c r="E229" s="2" t="s">
        <v>265</v>
      </c>
      <c r="F229" s="4" t="s">
        <v>26</v>
      </c>
      <c r="G229" s="4" t="s">
        <v>26</v>
      </c>
      <c r="H229" s="7">
        <v>36145</v>
      </c>
      <c r="I229" s="21">
        <f t="shared" ca="1" si="18"/>
        <v>27</v>
      </c>
      <c r="J229" s="8">
        <v>0</v>
      </c>
      <c r="K229" s="8">
        <v>0</v>
      </c>
      <c r="L229" s="8">
        <v>28000</v>
      </c>
      <c r="M229" s="8">
        <f>(Table2[[#This Row],[Salary/
Week]]*52)</f>
        <v>1456000</v>
      </c>
      <c r="N229" s="9">
        <v>45535</v>
      </c>
      <c r="O229" s="10">
        <v>46934</v>
      </c>
      <c r="P229" s="4">
        <f t="shared" ca="1" si="19"/>
        <v>2</v>
      </c>
      <c r="Q229" s="4">
        <f t="shared" ca="1" si="20"/>
        <v>1</v>
      </c>
      <c r="R229" s="4">
        <f t="shared" ca="1" si="21"/>
        <v>21</v>
      </c>
      <c r="S229" s="4"/>
      <c r="T229" s="4"/>
      <c r="U229" s="4"/>
      <c r="V229" s="4" t="s">
        <v>396</v>
      </c>
      <c r="W229" s="2"/>
      <c r="X229" s="4"/>
    </row>
    <row r="230" spans="1:24" x14ac:dyDescent="0.25">
      <c r="A230" s="1" t="s">
        <v>260</v>
      </c>
      <c r="B230" s="4"/>
      <c r="C230" s="5" t="s">
        <v>400</v>
      </c>
      <c r="D230" s="12">
        <v>2</v>
      </c>
      <c r="E230" s="2" t="s">
        <v>266</v>
      </c>
      <c r="F230" s="4" t="s">
        <v>26</v>
      </c>
      <c r="G230" s="4" t="s">
        <v>26</v>
      </c>
      <c r="H230" s="7">
        <v>37540</v>
      </c>
      <c r="I230" s="21">
        <f t="shared" ca="1" si="18"/>
        <v>23</v>
      </c>
      <c r="J230" s="8">
        <v>0</v>
      </c>
      <c r="K230" s="8">
        <v>0</v>
      </c>
      <c r="L230" s="8">
        <v>40000</v>
      </c>
      <c r="M230" s="8">
        <f>(Table2[[#This Row],[Salary/
Week]]*52)</f>
        <v>2080000</v>
      </c>
      <c r="N230" s="9">
        <v>45294</v>
      </c>
      <c r="O230" s="10">
        <v>46934</v>
      </c>
      <c r="P230" s="4">
        <f t="shared" ca="1" si="19"/>
        <v>2</v>
      </c>
      <c r="Q230" s="4">
        <f t="shared" ca="1" si="20"/>
        <v>1</v>
      </c>
      <c r="R230" s="4">
        <f t="shared" ca="1" si="21"/>
        <v>21</v>
      </c>
      <c r="S230" s="4"/>
      <c r="T230" s="4"/>
      <c r="U230" s="4"/>
      <c r="V230" s="4" t="s">
        <v>396</v>
      </c>
      <c r="W230" s="2"/>
      <c r="X230" s="4"/>
    </row>
    <row r="231" spans="1:24" x14ac:dyDescent="0.25">
      <c r="A231" s="1" t="s">
        <v>260</v>
      </c>
      <c r="B231" s="4"/>
      <c r="C231" s="5" t="s">
        <v>400</v>
      </c>
      <c r="D231" s="12">
        <v>16</v>
      </c>
      <c r="E231" s="2" t="s">
        <v>544</v>
      </c>
      <c r="F231" s="4" t="s">
        <v>26</v>
      </c>
      <c r="G231" s="4" t="s">
        <v>26</v>
      </c>
      <c r="H231" s="7">
        <v>37234</v>
      </c>
      <c r="I231" s="21">
        <f t="shared" ca="1" si="18"/>
        <v>24</v>
      </c>
      <c r="J231" s="8">
        <v>0</v>
      </c>
      <c r="K231" s="8">
        <v>9000000</v>
      </c>
      <c r="L231" s="8">
        <v>55000</v>
      </c>
      <c r="M231" s="8">
        <f>(Table2[[#This Row],[Salary/
Week]]*52)</f>
        <v>2860000</v>
      </c>
      <c r="N231" s="9">
        <v>46236</v>
      </c>
      <c r="O231" s="10">
        <v>48760</v>
      </c>
      <c r="P231" s="4">
        <f t="shared" ca="1" si="19"/>
        <v>0</v>
      </c>
      <c r="Q231" s="4">
        <f t="shared" ca="1" si="20"/>
        <v>6</v>
      </c>
      <c r="R231" s="4">
        <f t="shared" ca="1" si="21"/>
        <v>81</v>
      </c>
      <c r="S231" s="4"/>
      <c r="T231" s="4"/>
      <c r="U231" s="4"/>
      <c r="V231" s="4" t="s">
        <v>398</v>
      </c>
      <c r="W231" s="2"/>
      <c r="X231" s="4"/>
    </row>
    <row r="232" spans="1:24" x14ac:dyDescent="0.25">
      <c r="A232" s="1" t="s">
        <v>260</v>
      </c>
      <c r="B232" s="4"/>
      <c r="C232" s="5" t="s">
        <v>401</v>
      </c>
      <c r="D232" s="12">
        <v>12</v>
      </c>
      <c r="E232" s="2" t="s">
        <v>268</v>
      </c>
      <c r="F232" s="4" t="s">
        <v>26</v>
      </c>
      <c r="G232" s="4" t="s">
        <v>26</v>
      </c>
      <c r="H232" s="7">
        <v>36321</v>
      </c>
      <c r="I232" s="21">
        <f t="shared" ca="1" si="18"/>
        <v>27</v>
      </c>
      <c r="J232" s="8">
        <v>1500000</v>
      </c>
      <c r="K232" s="8">
        <v>2000000</v>
      </c>
      <c r="L232" s="8">
        <v>32000</v>
      </c>
      <c r="M232" s="8">
        <f>(Table2[[#This Row],[Salary/
Week]]*52)</f>
        <v>1664000</v>
      </c>
      <c r="N232" s="9">
        <v>45148</v>
      </c>
      <c r="O232" s="10">
        <v>46568</v>
      </c>
      <c r="P232" s="4">
        <f t="shared" ca="1" si="19"/>
        <v>3</v>
      </c>
      <c r="Q232" s="4">
        <f t="shared" ca="1" si="20"/>
        <v>0</v>
      </c>
      <c r="R232" s="4">
        <f t="shared" ca="1" si="21"/>
        <v>9</v>
      </c>
      <c r="S232" s="4"/>
      <c r="T232" s="4"/>
      <c r="U232" s="4"/>
      <c r="V232" s="4" t="s">
        <v>398</v>
      </c>
      <c r="W232" s="2"/>
      <c r="X232" s="4"/>
    </row>
    <row r="233" spans="1:24" x14ac:dyDescent="0.25">
      <c r="A233" s="1" t="s">
        <v>260</v>
      </c>
      <c r="B233" s="4"/>
      <c r="C233" s="5" t="s">
        <v>401</v>
      </c>
      <c r="D233" s="12">
        <v>15</v>
      </c>
      <c r="E233" s="2" t="s">
        <v>545</v>
      </c>
      <c r="F233" s="4" t="s">
        <v>26</v>
      </c>
      <c r="G233" s="4" t="s">
        <v>26</v>
      </c>
      <c r="H233" s="7">
        <v>37799</v>
      </c>
      <c r="I233" s="21">
        <f t="shared" ca="1" si="18"/>
        <v>23</v>
      </c>
      <c r="J233" s="8">
        <v>10000000</v>
      </c>
      <c r="K233" s="8">
        <v>0</v>
      </c>
      <c r="L233" s="8">
        <v>85000</v>
      </c>
      <c r="M233" s="8">
        <f>(Table2[[#This Row],[Salary/
Week]]*52)</f>
        <v>4420000</v>
      </c>
      <c r="N233" s="9">
        <v>46236</v>
      </c>
      <c r="O233" s="10">
        <v>48395</v>
      </c>
      <c r="P233" s="4">
        <f t="shared" ca="1" si="19"/>
        <v>0</v>
      </c>
      <c r="Q233" s="4">
        <f t="shared" ca="1" si="20"/>
        <v>5</v>
      </c>
      <c r="R233" s="4">
        <f t="shared" ca="1" si="21"/>
        <v>69</v>
      </c>
      <c r="S233" s="4"/>
      <c r="T233" s="4"/>
      <c r="U233" s="4"/>
      <c r="V233" s="4" t="s">
        <v>397</v>
      </c>
      <c r="W233" s="2"/>
      <c r="X233" s="4"/>
    </row>
    <row r="234" spans="1:24" x14ac:dyDescent="0.25">
      <c r="A234" s="1" t="s">
        <v>260</v>
      </c>
      <c r="B234" s="4"/>
      <c r="C234" s="5" t="s">
        <v>400</v>
      </c>
      <c r="D234" s="12">
        <v>5</v>
      </c>
      <c r="E234" s="2" t="s">
        <v>269</v>
      </c>
      <c r="F234" s="4" t="s">
        <v>27</v>
      </c>
      <c r="G234" s="4" t="s">
        <v>36</v>
      </c>
      <c r="H234" s="7">
        <v>39054</v>
      </c>
      <c r="I234" s="21">
        <f t="shared" ca="1" si="18"/>
        <v>19</v>
      </c>
      <c r="J234" s="8">
        <v>0</v>
      </c>
      <c r="K234" s="8">
        <v>50000000</v>
      </c>
      <c r="L234" s="8">
        <v>225000</v>
      </c>
      <c r="M234" s="8">
        <f>(Table2[[#This Row],[Salary/
Week]]*52)</f>
        <v>11700000</v>
      </c>
      <c r="N234" s="9">
        <v>44713</v>
      </c>
      <c r="O234" s="10">
        <v>48760</v>
      </c>
      <c r="P234" s="4">
        <f t="shared" ca="1" si="19"/>
        <v>4</v>
      </c>
      <c r="Q234" s="4">
        <f t="shared" ca="1" si="20"/>
        <v>6</v>
      </c>
      <c r="R234" s="4">
        <f t="shared" ca="1" si="21"/>
        <v>81</v>
      </c>
      <c r="S234" s="4"/>
      <c r="T234" s="4"/>
      <c r="U234" s="4"/>
      <c r="V234" s="4" t="s">
        <v>397</v>
      </c>
      <c r="W234" s="2"/>
      <c r="X234" s="4"/>
    </row>
    <row r="235" spans="1:24" x14ac:dyDescent="0.25">
      <c r="A235" s="1" t="s">
        <v>260</v>
      </c>
      <c r="B235" s="4"/>
      <c r="C235" s="5" t="s">
        <v>401</v>
      </c>
      <c r="D235" s="12">
        <v>31</v>
      </c>
      <c r="E235" s="2" t="s">
        <v>270</v>
      </c>
      <c r="F235" s="4" t="s">
        <v>27</v>
      </c>
      <c r="G235" s="4" t="s">
        <v>36</v>
      </c>
      <c r="H235" s="7">
        <v>39395</v>
      </c>
      <c r="I235" s="21">
        <f t="shared" ca="1" si="18"/>
        <v>18</v>
      </c>
      <c r="J235" s="8">
        <v>0</v>
      </c>
      <c r="K235" s="8">
        <v>0</v>
      </c>
      <c r="L235" s="8">
        <v>8000</v>
      </c>
      <c r="M235" s="8">
        <f>(Table2[[#This Row],[Salary/
Week]]*52)</f>
        <v>416000</v>
      </c>
      <c r="N235" s="9">
        <v>45304</v>
      </c>
      <c r="O235" s="10">
        <v>46568</v>
      </c>
      <c r="P235" s="4">
        <f t="shared" ca="1" si="19"/>
        <v>2</v>
      </c>
      <c r="Q235" s="4">
        <f t="shared" ca="1" si="20"/>
        <v>0</v>
      </c>
      <c r="R235" s="4">
        <f t="shared" ca="1" si="21"/>
        <v>9</v>
      </c>
      <c r="S235" s="4"/>
      <c r="T235" s="4"/>
      <c r="U235" s="4"/>
      <c r="V235" s="4" t="s">
        <v>397</v>
      </c>
      <c r="W235" s="2"/>
      <c r="X235" s="4"/>
    </row>
    <row r="236" spans="1:24" x14ac:dyDescent="0.25">
      <c r="A236" s="1" t="s">
        <v>260</v>
      </c>
      <c r="B236" s="4"/>
      <c r="C236" s="5" t="s">
        <v>400</v>
      </c>
      <c r="D236" s="12">
        <v>6</v>
      </c>
      <c r="E236" s="2" t="s">
        <v>271</v>
      </c>
      <c r="F236" s="4" t="s">
        <v>28</v>
      </c>
      <c r="G236" s="4" t="s">
        <v>29</v>
      </c>
      <c r="H236" s="7">
        <v>37984</v>
      </c>
      <c r="I236" s="21">
        <f t="shared" ca="1" si="18"/>
        <v>22</v>
      </c>
      <c r="J236" s="8">
        <v>1000000</v>
      </c>
      <c r="K236" s="8">
        <v>6500000</v>
      </c>
      <c r="L236" s="8">
        <v>105000</v>
      </c>
      <c r="M236" s="8">
        <f>(Table2[[#This Row],[Salary/
Week]]*52)</f>
        <v>5460000</v>
      </c>
      <c r="N236" s="9">
        <v>45127</v>
      </c>
      <c r="O236" s="10">
        <v>47664</v>
      </c>
      <c r="P236" s="4">
        <f t="shared" ca="1" si="19"/>
        <v>3</v>
      </c>
      <c r="Q236" s="4">
        <f t="shared" ca="1" si="20"/>
        <v>3</v>
      </c>
      <c r="R236" s="4">
        <f t="shared" ca="1" si="21"/>
        <v>45</v>
      </c>
      <c r="S236" s="4"/>
      <c r="T236" s="4"/>
      <c r="U236" s="4"/>
      <c r="V236" s="4" t="s">
        <v>397</v>
      </c>
      <c r="W236" s="2"/>
      <c r="X236" s="4"/>
    </row>
    <row r="237" spans="1:24" x14ac:dyDescent="0.25">
      <c r="A237" s="1" t="s">
        <v>260</v>
      </c>
      <c r="B237" s="4" t="s">
        <v>57</v>
      </c>
      <c r="C237" s="5" t="s">
        <v>400</v>
      </c>
      <c r="D237" s="12">
        <v>22</v>
      </c>
      <c r="E237" s="2" t="s">
        <v>272</v>
      </c>
      <c r="F237" s="4" t="s">
        <v>28</v>
      </c>
      <c r="G237" s="4" t="s">
        <v>29</v>
      </c>
      <c r="H237" s="7">
        <v>36768</v>
      </c>
      <c r="I237" s="21">
        <f t="shared" ca="1" si="18"/>
        <v>26</v>
      </c>
      <c r="J237" s="8">
        <v>0</v>
      </c>
      <c r="K237" s="8">
        <v>55000000</v>
      </c>
      <c r="L237" s="8">
        <v>150000</v>
      </c>
      <c r="M237" s="8">
        <f>(Table2[[#This Row],[Salary/
Week]]*52)</f>
        <v>7800000</v>
      </c>
      <c r="N237" s="9">
        <v>45504</v>
      </c>
      <c r="O237" s="10">
        <v>48029</v>
      </c>
      <c r="P237" s="4">
        <f t="shared" ca="1" si="19"/>
        <v>2</v>
      </c>
      <c r="Q237" s="4">
        <f t="shared" ca="1" si="20"/>
        <v>4</v>
      </c>
      <c r="R237" s="4">
        <f t="shared" ca="1" si="21"/>
        <v>57</v>
      </c>
      <c r="S237" s="4"/>
      <c r="T237" s="4"/>
      <c r="U237" s="4"/>
      <c r="V237" s="4" t="s">
        <v>398</v>
      </c>
      <c r="W237" s="2"/>
      <c r="X237" s="4"/>
    </row>
    <row r="238" spans="1:24" x14ac:dyDescent="0.25">
      <c r="A238" s="1" t="s">
        <v>260</v>
      </c>
      <c r="B238" s="4"/>
      <c r="C238" s="5" t="s">
        <v>401</v>
      </c>
      <c r="D238" s="12">
        <v>7</v>
      </c>
      <c r="E238" s="2" t="s">
        <v>273</v>
      </c>
      <c r="F238" s="4" t="s">
        <v>29</v>
      </c>
      <c r="G238" s="4" t="s">
        <v>29</v>
      </c>
      <c r="H238" s="7">
        <v>38012</v>
      </c>
      <c r="I238" s="21">
        <f t="shared" ca="1" si="18"/>
        <v>22</v>
      </c>
      <c r="J238" s="8">
        <v>0</v>
      </c>
      <c r="K238" s="8">
        <v>100000</v>
      </c>
      <c r="L238" s="8">
        <v>35000</v>
      </c>
      <c r="M238" s="8">
        <f>(Table2[[#This Row],[Salary/
Week]]*52)</f>
        <v>1820000</v>
      </c>
      <c r="N238" s="9">
        <v>44785</v>
      </c>
      <c r="O238" s="10">
        <v>46934</v>
      </c>
      <c r="P238" s="4">
        <f t="shared" ca="1" si="19"/>
        <v>4</v>
      </c>
      <c r="Q238" s="4">
        <f t="shared" ca="1" si="20"/>
        <v>1</v>
      </c>
      <c r="R238" s="4">
        <f t="shared" ca="1" si="21"/>
        <v>21</v>
      </c>
      <c r="S238" s="4"/>
      <c r="T238" s="4"/>
      <c r="U238" s="4"/>
      <c r="V238" s="4" t="s">
        <v>398</v>
      </c>
      <c r="W238" s="2"/>
      <c r="X238" s="4"/>
    </row>
    <row r="239" spans="1:24" x14ac:dyDescent="0.25">
      <c r="A239" s="1" t="s">
        <v>260</v>
      </c>
      <c r="B239" s="4"/>
      <c r="C239" s="5" t="s">
        <v>401</v>
      </c>
      <c r="D239" s="12">
        <v>62</v>
      </c>
      <c r="E239" s="2" t="s">
        <v>274</v>
      </c>
      <c r="F239" s="4" t="s">
        <v>29</v>
      </c>
      <c r="G239" s="4" t="s">
        <v>29</v>
      </c>
      <c r="H239" s="7">
        <v>37211</v>
      </c>
      <c r="I239" s="21">
        <f t="shared" ca="1" si="18"/>
        <v>24</v>
      </c>
      <c r="J239" s="8">
        <v>0</v>
      </c>
      <c r="K239" s="8">
        <v>7000000</v>
      </c>
      <c r="L239" s="8">
        <v>45000</v>
      </c>
      <c r="M239" s="8">
        <f>(Table2[[#This Row],[Salary/
Week]]*52)</f>
        <v>2340000</v>
      </c>
      <c r="N239" s="9">
        <v>45152</v>
      </c>
      <c r="O239" s="10">
        <v>46934</v>
      </c>
      <c r="P239" s="4">
        <f t="shared" ca="1" si="19"/>
        <v>3</v>
      </c>
      <c r="Q239" s="4">
        <f t="shared" ca="1" si="20"/>
        <v>1</v>
      </c>
      <c r="R239" s="4">
        <f t="shared" ca="1" si="21"/>
        <v>21</v>
      </c>
      <c r="S239" s="4"/>
      <c r="T239" s="4"/>
      <c r="U239" s="4"/>
      <c r="V239" s="4" t="s">
        <v>397</v>
      </c>
      <c r="W239" s="2"/>
      <c r="X239" s="4"/>
    </row>
    <row r="240" spans="1:24" x14ac:dyDescent="0.25">
      <c r="A240" s="1" t="s">
        <v>260</v>
      </c>
      <c r="B240" s="4" t="s">
        <v>47</v>
      </c>
      <c r="C240" s="5" t="s">
        <v>400</v>
      </c>
      <c r="D240" s="12">
        <v>21</v>
      </c>
      <c r="E240" s="2" t="s">
        <v>275</v>
      </c>
      <c r="F240" s="4" t="s">
        <v>30</v>
      </c>
      <c r="G240" s="4" t="s">
        <v>29</v>
      </c>
      <c r="H240" s="7">
        <v>36191</v>
      </c>
      <c r="I240" s="21">
        <f t="shared" ca="1" si="18"/>
        <v>27</v>
      </c>
      <c r="J240" s="8">
        <v>0</v>
      </c>
      <c r="K240" s="8">
        <v>30000000</v>
      </c>
      <c r="L240" s="8">
        <v>55000</v>
      </c>
      <c r="M240" s="8">
        <f>(Table2[[#This Row],[Salary/
Week]]*52)</f>
        <v>2860000</v>
      </c>
      <c r="N240" s="9">
        <v>44728</v>
      </c>
      <c r="O240" s="10">
        <v>46934</v>
      </c>
      <c r="P240" s="4">
        <f t="shared" ca="1" si="19"/>
        <v>4</v>
      </c>
      <c r="Q240" s="4">
        <f t="shared" ca="1" si="20"/>
        <v>1</v>
      </c>
      <c r="R240" s="4">
        <f t="shared" ca="1" si="21"/>
        <v>21</v>
      </c>
      <c r="S240" s="4"/>
      <c r="T240" s="4"/>
      <c r="U240" s="4"/>
      <c r="V240" s="4" t="s">
        <v>397</v>
      </c>
      <c r="W240" s="2"/>
      <c r="X240" s="4"/>
    </row>
    <row r="241" spans="1:24" x14ac:dyDescent="0.25">
      <c r="A241" s="1" t="s">
        <v>260</v>
      </c>
      <c r="B241" s="4"/>
      <c r="C241" s="5" t="s">
        <v>401</v>
      </c>
      <c r="D241" s="12">
        <v>8</v>
      </c>
      <c r="E241" s="2" t="s">
        <v>546</v>
      </c>
      <c r="F241" s="4" t="s">
        <v>30</v>
      </c>
      <c r="G241" s="4" t="s">
        <v>29</v>
      </c>
      <c r="H241" s="7">
        <v>38328</v>
      </c>
      <c r="I241" s="21">
        <f t="shared" ca="1" si="18"/>
        <v>21</v>
      </c>
      <c r="J241" s="8">
        <v>5000000</v>
      </c>
      <c r="K241" s="8">
        <v>0</v>
      </c>
      <c r="L241" s="8">
        <v>45000</v>
      </c>
      <c r="M241" s="8">
        <f>(Table2[[#This Row],[Salary/
Week]]*52)</f>
        <v>2340000</v>
      </c>
      <c r="N241" s="9">
        <v>46236</v>
      </c>
      <c r="O241" s="10">
        <v>49856</v>
      </c>
      <c r="P241" s="4">
        <f t="shared" ca="1" si="19"/>
        <v>0</v>
      </c>
      <c r="Q241" s="4">
        <f t="shared" ca="1" si="20"/>
        <v>9</v>
      </c>
      <c r="R241" s="4">
        <f t="shared" ca="1" si="21"/>
        <v>117</v>
      </c>
      <c r="S241" s="4"/>
      <c r="T241" s="4"/>
      <c r="U241" s="4"/>
      <c r="V241" s="4" t="s">
        <v>397</v>
      </c>
      <c r="W241" s="2"/>
      <c r="X241" s="4"/>
    </row>
    <row r="242" spans="1:24" x14ac:dyDescent="0.25">
      <c r="A242" s="1" t="s">
        <v>260</v>
      </c>
      <c r="B242" s="4"/>
      <c r="C242" s="5" t="s">
        <v>400</v>
      </c>
      <c r="D242" s="12">
        <v>14</v>
      </c>
      <c r="E242" s="2" t="s">
        <v>574</v>
      </c>
      <c r="F242" s="4" t="s">
        <v>32</v>
      </c>
      <c r="G242" s="4" t="s">
        <v>30</v>
      </c>
      <c r="H242" s="7">
        <v>36168</v>
      </c>
      <c r="I242" s="21">
        <f ca="1">DATEDIF(H242,TODAY(),"Y")</f>
        <v>27</v>
      </c>
      <c r="J242" s="8" t="s">
        <v>572</v>
      </c>
      <c r="K242" s="8">
        <v>35000000</v>
      </c>
      <c r="L242" s="8">
        <v>120000</v>
      </c>
      <c r="M242" s="8">
        <f>(Table2[[#This Row],[Salary/
Week]]*52)</f>
        <v>6240000</v>
      </c>
      <c r="N242" s="9">
        <v>46244</v>
      </c>
      <c r="O242" s="10">
        <v>46568</v>
      </c>
      <c r="P242" s="4">
        <f ca="1">DATEDIF(N242,TODAY(),"Y")</f>
        <v>0</v>
      </c>
      <c r="Q242" s="4">
        <f ca="1">DATEDIF(TODAY(),O242,"y")</f>
        <v>0</v>
      </c>
      <c r="R242" s="4">
        <f ca="1">DATEDIF(TODAY(),O242,"m")</f>
        <v>9</v>
      </c>
      <c r="S242" s="4"/>
      <c r="T242" s="4"/>
      <c r="U242" s="4"/>
      <c r="V242" s="4" t="s">
        <v>398</v>
      </c>
      <c r="W242" s="2" t="s">
        <v>513</v>
      </c>
      <c r="X242" s="4"/>
    </row>
    <row r="243" spans="1:24" x14ac:dyDescent="0.25">
      <c r="A243" s="1" t="s">
        <v>260</v>
      </c>
      <c r="B243" s="4"/>
      <c r="C243" s="5" t="s">
        <v>401</v>
      </c>
      <c r="D243" s="12">
        <v>38</v>
      </c>
      <c r="E243" s="2" t="s">
        <v>278</v>
      </c>
      <c r="F243" s="4" t="s">
        <v>32</v>
      </c>
      <c r="G243" s="4" t="s">
        <v>39</v>
      </c>
      <c r="H243" s="7">
        <v>38553</v>
      </c>
      <c r="I243" s="21">
        <f t="shared" ca="1" si="18"/>
        <v>21</v>
      </c>
      <c r="J243" s="8">
        <v>120000</v>
      </c>
      <c r="K243" s="8">
        <v>0</v>
      </c>
      <c r="L243" s="8">
        <v>69000</v>
      </c>
      <c r="M243" s="8">
        <f>(Table2[[#This Row],[Salary/
Week]]*52)</f>
        <v>3588000</v>
      </c>
      <c r="N243" s="9">
        <v>44778</v>
      </c>
      <c r="O243" s="10">
        <v>46568</v>
      </c>
      <c r="P243" s="4">
        <f t="shared" ca="1" si="19"/>
        <v>4</v>
      </c>
      <c r="Q243" s="4">
        <f t="shared" ca="1" si="20"/>
        <v>0</v>
      </c>
      <c r="R243" s="4">
        <f t="shared" ca="1" si="21"/>
        <v>9</v>
      </c>
      <c r="S243" s="4"/>
      <c r="T243" s="4"/>
      <c r="U243" s="4"/>
      <c r="V243" s="4" t="s">
        <v>396</v>
      </c>
      <c r="W243" s="2"/>
      <c r="X243" s="4"/>
    </row>
    <row r="244" spans="1:24" x14ac:dyDescent="0.25">
      <c r="A244" s="1" t="s">
        <v>260</v>
      </c>
      <c r="B244" s="4"/>
      <c r="C244" s="5" t="s">
        <v>401</v>
      </c>
      <c r="D244" s="12">
        <v>18</v>
      </c>
      <c r="E244" s="2" t="s">
        <v>279</v>
      </c>
      <c r="F244" s="4" t="s">
        <v>31</v>
      </c>
      <c r="G244" s="4" t="s">
        <v>31</v>
      </c>
      <c r="H244" s="7">
        <v>38582</v>
      </c>
      <c r="I244" s="21">
        <f t="shared" ca="1" si="18"/>
        <v>21</v>
      </c>
      <c r="J244" s="8">
        <v>30000</v>
      </c>
      <c r="K244" s="8">
        <v>0</v>
      </c>
      <c r="L244" s="8">
        <v>25000</v>
      </c>
      <c r="M244" s="8">
        <f>(Table2[[#This Row],[Salary/
Week]]*52)</f>
        <v>1300000</v>
      </c>
      <c r="N244" s="9">
        <v>44753</v>
      </c>
      <c r="O244" s="10">
        <v>46568</v>
      </c>
      <c r="P244" s="4">
        <f t="shared" ca="1" si="19"/>
        <v>4</v>
      </c>
      <c r="Q244" s="4">
        <f t="shared" ca="1" si="20"/>
        <v>0</v>
      </c>
      <c r="R244" s="4">
        <f t="shared" ca="1" si="21"/>
        <v>9</v>
      </c>
      <c r="S244" s="4"/>
      <c r="T244" s="4"/>
      <c r="U244" s="4"/>
      <c r="V244" s="4" t="s">
        <v>398</v>
      </c>
      <c r="W244" s="2"/>
      <c r="X244" s="4"/>
    </row>
    <row r="245" spans="1:24" x14ac:dyDescent="0.25">
      <c r="A245" s="1" t="s">
        <v>260</v>
      </c>
      <c r="B245" s="4"/>
      <c r="C245" s="5" t="s">
        <v>400</v>
      </c>
      <c r="D245" s="12">
        <v>9</v>
      </c>
      <c r="E245" s="2" t="s">
        <v>280</v>
      </c>
      <c r="F245" s="4" t="s">
        <v>31</v>
      </c>
      <c r="G245" s="4" t="s">
        <v>31</v>
      </c>
      <c r="H245" s="7">
        <v>37677</v>
      </c>
      <c r="I245" s="21">
        <f t="shared" ca="1" si="18"/>
        <v>23</v>
      </c>
      <c r="J245" s="8">
        <v>8000</v>
      </c>
      <c r="K245" s="8">
        <v>65000000</v>
      </c>
      <c r="L245" s="8">
        <v>90000</v>
      </c>
      <c r="M245" s="8">
        <f>(Table2[[#This Row],[Salary/
Week]]*52)</f>
        <v>4680000</v>
      </c>
      <c r="N245" s="9">
        <v>45882</v>
      </c>
      <c r="O245" s="10">
        <v>48760</v>
      </c>
      <c r="P245" s="4">
        <f t="shared" ca="1" si="19"/>
        <v>1</v>
      </c>
      <c r="Q245" s="4">
        <f t="shared" ca="1" si="20"/>
        <v>6</v>
      </c>
      <c r="R245" s="4">
        <f t="shared" ca="1" si="21"/>
        <v>81</v>
      </c>
      <c r="S245" s="4"/>
      <c r="T245" s="4"/>
      <c r="U245" s="4"/>
      <c r="V245" s="4" t="s">
        <v>398</v>
      </c>
      <c r="W245" s="2"/>
      <c r="X245" s="4"/>
    </row>
    <row r="246" spans="1:24" x14ac:dyDescent="0.25">
      <c r="A246" s="1" t="s">
        <v>260</v>
      </c>
      <c r="B246" s="4"/>
      <c r="C246" s="5" t="s">
        <v>401</v>
      </c>
      <c r="D246" s="12">
        <v>11</v>
      </c>
      <c r="E246" s="2" t="s">
        <v>282</v>
      </c>
      <c r="F246" s="4" t="s">
        <v>35</v>
      </c>
      <c r="G246" s="4" t="s">
        <v>40</v>
      </c>
      <c r="H246" s="7">
        <v>38877</v>
      </c>
      <c r="I246" s="21">
        <f t="shared" ca="1" si="18"/>
        <v>20</v>
      </c>
      <c r="J246" s="8">
        <v>10000000</v>
      </c>
      <c r="K246" s="8">
        <v>30000000</v>
      </c>
      <c r="L246" s="8">
        <v>34820</v>
      </c>
      <c r="M246" s="8">
        <f>(Table2[[#This Row],[Salary/
Week]]*52)</f>
        <v>1810640</v>
      </c>
      <c r="N246" s="9">
        <v>44954</v>
      </c>
      <c r="O246" s="10">
        <v>48029</v>
      </c>
      <c r="P246" s="4">
        <f t="shared" ca="1" si="19"/>
        <v>3</v>
      </c>
      <c r="Q246" s="4">
        <f t="shared" ca="1" si="20"/>
        <v>4</v>
      </c>
      <c r="R246" s="4">
        <f t="shared" ca="1" si="21"/>
        <v>57</v>
      </c>
      <c r="S246" s="4"/>
      <c r="T246" s="4"/>
      <c r="U246" s="4"/>
      <c r="V246" s="4" t="s">
        <v>397</v>
      </c>
      <c r="W246" s="2"/>
      <c r="X246" s="4"/>
    </row>
    <row r="247" spans="1:24" x14ac:dyDescent="0.25">
      <c r="A247" s="1" t="s">
        <v>260</v>
      </c>
      <c r="B247" s="4"/>
      <c r="C247" s="5" t="s">
        <v>400</v>
      </c>
      <c r="D247" s="12">
        <v>10</v>
      </c>
      <c r="E247" s="2" t="s">
        <v>393</v>
      </c>
      <c r="F247" s="4" t="s">
        <v>35</v>
      </c>
      <c r="G247" s="4" t="s">
        <v>35</v>
      </c>
      <c r="H247" s="7">
        <v>37360</v>
      </c>
      <c r="I247" s="21">
        <f ca="1">DATEDIF(H247,TODAY(),"Y")</f>
        <v>24</v>
      </c>
      <c r="J247" s="8">
        <v>60000000</v>
      </c>
      <c r="K247" s="8">
        <v>68350000</v>
      </c>
      <c r="L247" s="8">
        <v>165000</v>
      </c>
      <c r="M247" s="8">
        <f>(Table2[[#This Row],[Salary/
Week]]*52)</f>
        <v>8580000</v>
      </c>
      <c r="N247" s="9">
        <v>46236</v>
      </c>
      <c r="O247" s="10">
        <v>49125</v>
      </c>
      <c r="P247" s="4">
        <f ca="1">DATEDIF(N247,TODAY(),"Y")</f>
        <v>0</v>
      </c>
      <c r="Q247" s="4">
        <f ca="1">DATEDIF(TODAY(),O247,"y")</f>
        <v>7</v>
      </c>
      <c r="R247" s="4">
        <f ca="1">DATEDIF(TODAY(),O247,"m")</f>
        <v>93</v>
      </c>
      <c r="S247" s="4"/>
      <c r="T247" s="4"/>
      <c r="U247" s="4"/>
      <c r="V247" s="4" t="s">
        <v>396</v>
      </c>
      <c r="W247" s="2"/>
      <c r="X247" s="4"/>
    </row>
    <row r="248" spans="1:24" x14ac:dyDescent="0.25">
      <c r="A248" s="1" t="s">
        <v>283</v>
      </c>
      <c r="B248" s="4"/>
      <c r="C248" s="5" t="s">
        <v>400</v>
      </c>
      <c r="D248" s="12">
        <v>1</v>
      </c>
      <c r="E248" s="2" t="s">
        <v>284</v>
      </c>
      <c r="F248" s="4" t="s">
        <v>23</v>
      </c>
      <c r="G248" s="4" t="s">
        <v>23</v>
      </c>
      <c r="H248" s="7">
        <v>37321</v>
      </c>
      <c r="I248" s="21">
        <f t="shared" ca="1" si="18"/>
        <v>24</v>
      </c>
      <c r="J248" s="8">
        <v>0</v>
      </c>
      <c r="K248" s="8">
        <v>0</v>
      </c>
      <c r="L248" s="8">
        <v>45000</v>
      </c>
      <c r="M248" s="8">
        <f>(Table2[[#This Row],[Salary/
Week]]*52)</f>
        <v>2340000</v>
      </c>
      <c r="N248" s="9">
        <v>45135</v>
      </c>
      <c r="O248" s="10">
        <v>46934</v>
      </c>
      <c r="P248" s="4">
        <f t="shared" ca="1" si="19"/>
        <v>3</v>
      </c>
      <c r="Q248" s="4">
        <f t="shared" ca="1" si="20"/>
        <v>1</v>
      </c>
      <c r="R248" s="4">
        <f t="shared" ca="1" si="21"/>
        <v>21</v>
      </c>
      <c r="S248" s="4"/>
      <c r="T248" s="4"/>
      <c r="U248" s="4"/>
      <c r="V248" s="4" t="s">
        <v>397</v>
      </c>
      <c r="W248" s="2"/>
      <c r="X248" s="4"/>
    </row>
    <row r="249" spans="1:24" x14ac:dyDescent="0.25">
      <c r="A249" s="1" t="s">
        <v>283</v>
      </c>
      <c r="B249" s="4"/>
      <c r="C249" s="5" t="s">
        <v>401</v>
      </c>
      <c r="D249" s="12">
        <v>99</v>
      </c>
      <c r="E249" s="2" t="s">
        <v>285</v>
      </c>
      <c r="F249" s="4" t="s">
        <v>23</v>
      </c>
      <c r="G249" s="4" t="s">
        <v>23</v>
      </c>
      <c r="H249" s="7">
        <v>37796</v>
      </c>
      <c r="I249" s="21">
        <f t="shared" ca="1" si="18"/>
        <v>23</v>
      </c>
      <c r="J249" s="8">
        <v>0</v>
      </c>
      <c r="K249" s="8">
        <v>0</v>
      </c>
      <c r="L249" s="8">
        <v>22000</v>
      </c>
      <c r="M249" s="8">
        <f>(Table2[[#This Row],[Salary/
Week]]*52)</f>
        <v>1144000</v>
      </c>
      <c r="N249" s="9">
        <v>44743</v>
      </c>
      <c r="O249" s="10">
        <v>46934</v>
      </c>
      <c r="P249" s="4">
        <f t="shared" ca="1" si="19"/>
        <v>4</v>
      </c>
      <c r="Q249" s="4">
        <f t="shared" ca="1" si="20"/>
        <v>1</v>
      </c>
      <c r="R249" s="4">
        <f t="shared" ca="1" si="21"/>
        <v>21</v>
      </c>
      <c r="S249" s="4"/>
      <c r="T249" s="4"/>
      <c r="U249" s="4"/>
      <c r="V249" s="4" t="s">
        <v>397</v>
      </c>
      <c r="W249" s="2"/>
      <c r="X249" s="4"/>
    </row>
    <row r="250" spans="1:24" x14ac:dyDescent="0.25">
      <c r="A250" s="1" t="s">
        <v>283</v>
      </c>
      <c r="B250" s="4"/>
      <c r="C250" s="5" t="s">
        <v>400</v>
      </c>
      <c r="D250" s="12">
        <v>12</v>
      </c>
      <c r="E250" s="2" t="s">
        <v>286</v>
      </c>
      <c r="F250" s="4" t="s">
        <v>37</v>
      </c>
      <c r="G250" s="4" t="s">
        <v>37</v>
      </c>
      <c r="H250" s="7">
        <v>35655</v>
      </c>
      <c r="I250" s="21">
        <f t="shared" ca="1" si="18"/>
        <v>29</v>
      </c>
      <c r="J250" s="8">
        <v>7000000</v>
      </c>
      <c r="K250" s="8">
        <v>10000000</v>
      </c>
      <c r="L250" s="8">
        <v>55780</v>
      </c>
      <c r="M250" s="8">
        <f>(Table2[[#This Row],[Salary/
Week]]*52)</f>
        <v>2900560</v>
      </c>
      <c r="N250" s="9">
        <v>45486</v>
      </c>
      <c r="O250" s="10">
        <v>46568</v>
      </c>
      <c r="P250" s="4">
        <f t="shared" ca="1" si="19"/>
        <v>2</v>
      </c>
      <c r="Q250" s="4">
        <f t="shared" ca="1" si="20"/>
        <v>0</v>
      </c>
      <c r="R250" s="4">
        <f t="shared" ca="1" si="21"/>
        <v>9</v>
      </c>
      <c r="S250" s="4"/>
      <c r="T250" s="4"/>
      <c r="U250" s="4"/>
      <c r="V250" s="4" t="s">
        <v>396</v>
      </c>
      <c r="W250" s="2"/>
      <c r="X250" s="4"/>
    </row>
    <row r="251" spans="1:24" x14ac:dyDescent="0.25">
      <c r="A251" s="1" t="s">
        <v>283</v>
      </c>
      <c r="B251" s="4"/>
      <c r="C251" s="5" t="s">
        <v>401</v>
      </c>
      <c r="D251" s="12">
        <v>5</v>
      </c>
      <c r="E251" s="2" t="s">
        <v>287</v>
      </c>
      <c r="F251" s="4" t="s">
        <v>37</v>
      </c>
      <c r="G251" s="4" t="s">
        <v>37</v>
      </c>
      <c r="H251" s="7">
        <v>37704</v>
      </c>
      <c r="I251" s="21">
        <f t="shared" ca="1" si="18"/>
        <v>23</v>
      </c>
      <c r="J251" s="8">
        <v>0</v>
      </c>
      <c r="K251" s="8">
        <v>0</v>
      </c>
      <c r="L251" s="8">
        <v>35000</v>
      </c>
      <c r="M251" s="8">
        <f>(Table2[[#This Row],[Salary/
Week]]*52)</f>
        <v>1820000</v>
      </c>
      <c r="N251" s="9">
        <v>44936</v>
      </c>
      <c r="O251" s="10">
        <v>46934</v>
      </c>
      <c r="P251" s="4">
        <f t="shared" ca="1" si="19"/>
        <v>3</v>
      </c>
      <c r="Q251" s="4">
        <f t="shared" ca="1" si="20"/>
        <v>1</v>
      </c>
      <c r="R251" s="4">
        <f t="shared" ca="1" si="21"/>
        <v>21</v>
      </c>
      <c r="S251" s="4"/>
      <c r="T251" s="4"/>
      <c r="U251" s="4"/>
      <c r="V251" s="4" t="s">
        <v>396</v>
      </c>
      <c r="W251" s="2"/>
      <c r="X251" s="4"/>
    </row>
    <row r="252" spans="1:24" x14ac:dyDescent="0.25">
      <c r="A252" s="1" t="s">
        <v>283</v>
      </c>
      <c r="B252" s="4" t="s">
        <v>47</v>
      </c>
      <c r="C252" s="5" t="s">
        <v>400</v>
      </c>
      <c r="D252" s="12">
        <v>3</v>
      </c>
      <c r="E252" s="2" t="s">
        <v>288</v>
      </c>
      <c r="F252" s="4" t="s">
        <v>26</v>
      </c>
      <c r="G252" s="4" t="s">
        <v>26</v>
      </c>
      <c r="H252" s="7">
        <v>35158</v>
      </c>
      <c r="I252" s="21">
        <f t="shared" ca="1" si="18"/>
        <v>30</v>
      </c>
      <c r="J252" s="8">
        <v>0</v>
      </c>
      <c r="K252" s="8">
        <v>900000</v>
      </c>
      <c r="L252" s="8">
        <v>67000</v>
      </c>
      <c r="M252" s="8">
        <f>(Table2[[#This Row],[Salary/
Week]]*52)</f>
        <v>3484000</v>
      </c>
      <c r="N252" s="9">
        <v>44751</v>
      </c>
      <c r="O252" s="10">
        <v>47664</v>
      </c>
      <c r="P252" s="4">
        <f t="shared" ca="1" si="19"/>
        <v>4</v>
      </c>
      <c r="Q252" s="4">
        <f t="shared" ca="1" si="20"/>
        <v>3</v>
      </c>
      <c r="R252" s="4">
        <f t="shared" ca="1" si="21"/>
        <v>45</v>
      </c>
      <c r="S252" s="4"/>
      <c r="T252" s="4"/>
      <c r="U252" s="4"/>
      <c r="V252" s="4" t="s">
        <v>396</v>
      </c>
      <c r="W252" s="2"/>
      <c r="X252" s="4"/>
    </row>
    <row r="253" spans="1:24" x14ac:dyDescent="0.25">
      <c r="A253" s="1" t="s">
        <v>283</v>
      </c>
      <c r="B253" s="4"/>
      <c r="C253" s="5" t="s">
        <v>400</v>
      </c>
      <c r="D253" s="12">
        <v>14</v>
      </c>
      <c r="E253" s="2" t="s">
        <v>290</v>
      </c>
      <c r="F253" s="4" t="s">
        <v>26</v>
      </c>
      <c r="G253" s="4" t="s">
        <v>26</v>
      </c>
      <c r="H253" s="7">
        <v>35804</v>
      </c>
      <c r="I253" s="21">
        <f t="shared" ca="1" si="18"/>
        <v>28</v>
      </c>
      <c r="J253" s="8">
        <v>0</v>
      </c>
      <c r="K253" s="8">
        <v>0</v>
      </c>
      <c r="L253" s="8">
        <v>38000</v>
      </c>
      <c r="M253" s="8">
        <f>(Table2[[#This Row],[Salary/
Week]]*52)</f>
        <v>1976000</v>
      </c>
      <c r="N253" s="9">
        <v>44355</v>
      </c>
      <c r="O253" s="10">
        <v>47664</v>
      </c>
      <c r="P253" s="4">
        <f t="shared" ca="1" si="19"/>
        <v>5</v>
      </c>
      <c r="Q253" s="4">
        <f t="shared" ca="1" si="20"/>
        <v>3</v>
      </c>
      <c r="R253" s="4">
        <f t="shared" ca="1" si="21"/>
        <v>45</v>
      </c>
      <c r="S253" s="4"/>
      <c r="T253" s="4"/>
      <c r="U253" s="4"/>
      <c r="V253" s="4" t="s">
        <v>397</v>
      </c>
      <c r="W253" s="2"/>
      <c r="X253" s="4"/>
    </row>
    <row r="254" spans="1:24" x14ac:dyDescent="0.25">
      <c r="A254" s="1" t="s">
        <v>283</v>
      </c>
      <c r="B254" s="4"/>
      <c r="C254" s="5" t="s">
        <v>401</v>
      </c>
      <c r="D254" s="12">
        <v>3</v>
      </c>
      <c r="E254" s="2" t="s">
        <v>451</v>
      </c>
      <c r="F254" s="4" t="s">
        <v>26</v>
      </c>
      <c r="G254" s="4" t="s">
        <v>26</v>
      </c>
      <c r="H254" s="7">
        <v>36653</v>
      </c>
      <c r="I254" s="21">
        <f ca="1">DATEDIF(H254,TODAY(),"Y")</f>
        <v>26</v>
      </c>
      <c r="J254" s="8">
        <v>0</v>
      </c>
      <c r="K254" s="8">
        <v>50000</v>
      </c>
      <c r="L254" s="8">
        <v>23000</v>
      </c>
      <c r="M254" s="8">
        <f>(Table2[[#This Row],[Salary/
Week]]*52)</f>
        <v>1196000</v>
      </c>
      <c r="N254" s="9">
        <v>46231</v>
      </c>
      <c r="O254" s="10">
        <v>47664</v>
      </c>
      <c r="P254" s="4">
        <f ca="1">DATEDIF(N254,TODAY(),"Y")</f>
        <v>0</v>
      </c>
      <c r="Q254" s="4">
        <f ca="1">DATEDIF(TODAY(),O254,"y")</f>
        <v>3</v>
      </c>
      <c r="R254" s="4">
        <f ca="1">DATEDIF(TODAY(),O254,"m")</f>
        <v>45</v>
      </c>
      <c r="S254" s="4"/>
      <c r="T254" s="4"/>
      <c r="U254" s="4"/>
      <c r="V254" s="4" t="s">
        <v>396</v>
      </c>
      <c r="W254" s="2"/>
      <c r="X254" s="4"/>
    </row>
    <row r="255" spans="1:24" x14ac:dyDescent="0.25">
      <c r="A255" s="1" t="s">
        <v>283</v>
      </c>
      <c r="B255" s="4"/>
      <c r="C255" s="5" t="s">
        <v>401</v>
      </c>
      <c r="D255" s="12">
        <v>4</v>
      </c>
      <c r="E255" s="2" t="s">
        <v>452</v>
      </c>
      <c r="F255" s="4" t="s">
        <v>26</v>
      </c>
      <c r="G255" s="4" t="s">
        <v>26</v>
      </c>
      <c r="H255" s="7">
        <v>36637</v>
      </c>
      <c r="I255" s="21">
        <f ca="1">DATEDIF(H255,TODAY(),"Y")</f>
        <v>26</v>
      </c>
      <c r="J255" s="8">
        <v>0</v>
      </c>
      <c r="K255" s="8">
        <v>8000000</v>
      </c>
      <c r="L255" s="8">
        <v>17000</v>
      </c>
      <c r="M255" s="8">
        <f>(Table2[[#This Row],[Salary/
Week]]*52)</f>
        <v>884000</v>
      </c>
      <c r="N255" s="9">
        <v>46156</v>
      </c>
      <c r="O255" s="10">
        <v>47664</v>
      </c>
      <c r="P255" s="4">
        <f ca="1">DATEDIF(N255,TODAY(),"Y")</f>
        <v>0</v>
      </c>
      <c r="Q255" s="4">
        <f ca="1">DATEDIF(TODAY(),O255,"y")</f>
        <v>3</v>
      </c>
      <c r="R255" s="4">
        <f ca="1">DATEDIF(TODAY(),O255,"m")</f>
        <v>45</v>
      </c>
      <c r="S255" s="4"/>
      <c r="T255" s="4"/>
      <c r="U255" s="4"/>
      <c r="V255" s="4" t="s">
        <v>397</v>
      </c>
      <c r="W255" s="2"/>
      <c r="X255" s="4"/>
    </row>
    <row r="256" spans="1:24" x14ac:dyDescent="0.25">
      <c r="A256" s="1" t="s">
        <v>283</v>
      </c>
      <c r="B256" s="4"/>
      <c r="C256" s="5" t="s">
        <v>400</v>
      </c>
      <c r="D256" s="12">
        <v>26</v>
      </c>
      <c r="E256" s="2" t="s">
        <v>453</v>
      </c>
      <c r="F256" s="4" t="s">
        <v>26</v>
      </c>
      <c r="G256" s="4" t="s">
        <v>26</v>
      </c>
      <c r="H256" s="7">
        <v>39581</v>
      </c>
      <c r="I256" s="21">
        <f ca="1">DATEDIF(H256,TODAY(),"Y")</f>
        <v>18</v>
      </c>
      <c r="J256" s="8">
        <v>1200000</v>
      </c>
      <c r="K256" s="8">
        <v>6000000</v>
      </c>
      <c r="L256" s="8">
        <v>35000</v>
      </c>
      <c r="M256" s="8">
        <f>(Table2[[#This Row],[Salary/
Week]]*52)</f>
        <v>1820000</v>
      </c>
      <c r="N256" s="9">
        <v>46216</v>
      </c>
      <c r="O256" s="10">
        <v>47664</v>
      </c>
      <c r="P256" s="4">
        <f ca="1">DATEDIF(N256,TODAY(),"Y")</f>
        <v>0</v>
      </c>
      <c r="Q256" s="4">
        <f ca="1">DATEDIF(TODAY(),O256,"y")</f>
        <v>3</v>
      </c>
      <c r="R256" s="4">
        <f ca="1">DATEDIF(TODAY(),O256,"m")</f>
        <v>45</v>
      </c>
      <c r="S256" s="4"/>
      <c r="T256" s="4"/>
      <c r="U256" s="4"/>
      <c r="V256" s="4" t="s">
        <v>397</v>
      </c>
      <c r="W256" s="2"/>
      <c r="X256" s="4"/>
    </row>
    <row r="257" spans="1:24" x14ac:dyDescent="0.25">
      <c r="A257" s="1" t="s">
        <v>283</v>
      </c>
      <c r="B257" s="4"/>
      <c r="C257" s="5" t="s">
        <v>400</v>
      </c>
      <c r="D257" s="12">
        <v>23</v>
      </c>
      <c r="E257" s="2" t="s">
        <v>291</v>
      </c>
      <c r="F257" s="4" t="s">
        <v>38</v>
      </c>
      <c r="G257" s="4" t="s">
        <v>38</v>
      </c>
      <c r="H257" s="7">
        <v>37578</v>
      </c>
      <c r="I257" s="21">
        <f t="shared" ca="1" si="18"/>
        <v>23</v>
      </c>
      <c r="J257" s="8">
        <v>0</v>
      </c>
      <c r="K257" s="8">
        <v>0</v>
      </c>
      <c r="L257" s="8">
        <v>41000</v>
      </c>
      <c r="M257" s="8">
        <f>(Table2[[#This Row],[Salary/
Week]]*52)</f>
        <v>2132000</v>
      </c>
      <c r="N257" s="9">
        <v>45521</v>
      </c>
      <c r="O257" s="10">
        <v>47299</v>
      </c>
      <c r="P257" s="4">
        <f t="shared" ca="1" si="19"/>
        <v>2</v>
      </c>
      <c r="Q257" s="4">
        <f t="shared" ca="1" si="20"/>
        <v>2</v>
      </c>
      <c r="R257" s="4">
        <f t="shared" ca="1" si="21"/>
        <v>33</v>
      </c>
      <c r="S257" s="4"/>
      <c r="T257" s="4"/>
      <c r="U257" s="4"/>
      <c r="V257" s="4" t="s">
        <v>397</v>
      </c>
      <c r="W257" s="2"/>
      <c r="X257" s="4"/>
    </row>
    <row r="258" spans="1:24" x14ac:dyDescent="0.25">
      <c r="A258" s="1" t="s">
        <v>283</v>
      </c>
      <c r="B258" s="4"/>
      <c r="C258" s="5" t="s">
        <v>401</v>
      </c>
      <c r="D258" s="12">
        <v>4</v>
      </c>
      <c r="E258" s="2" t="s">
        <v>292</v>
      </c>
      <c r="F258" s="4" t="s">
        <v>38</v>
      </c>
      <c r="G258" s="4" t="s">
        <v>38</v>
      </c>
      <c r="H258" s="7">
        <v>39067</v>
      </c>
      <c r="I258" s="21">
        <f t="shared" ca="1" si="18"/>
        <v>19</v>
      </c>
      <c r="J258" s="8">
        <v>0</v>
      </c>
      <c r="K258" s="8">
        <v>0</v>
      </c>
      <c r="L258" s="8">
        <v>36000</v>
      </c>
      <c r="M258" s="8">
        <f>(Table2[[#This Row],[Salary/
Week]]*52)</f>
        <v>1872000</v>
      </c>
      <c r="N258" s="9">
        <v>45113</v>
      </c>
      <c r="O258" s="10">
        <v>46568</v>
      </c>
      <c r="P258" s="4">
        <f t="shared" ca="1" si="19"/>
        <v>3</v>
      </c>
      <c r="Q258" s="4">
        <f t="shared" ca="1" si="20"/>
        <v>0</v>
      </c>
      <c r="R258" s="4">
        <f t="shared" ca="1" si="21"/>
        <v>9</v>
      </c>
      <c r="S258" s="4"/>
      <c r="T258" s="4"/>
      <c r="U258" s="4"/>
      <c r="V258" s="4" t="s">
        <v>397</v>
      </c>
      <c r="W258" s="2"/>
      <c r="X258" s="4"/>
    </row>
    <row r="259" spans="1:24" x14ac:dyDescent="0.25">
      <c r="A259" s="1" t="s">
        <v>283</v>
      </c>
      <c r="B259" s="4"/>
      <c r="C259" s="5" t="s">
        <v>401</v>
      </c>
      <c r="D259" s="12">
        <v>22</v>
      </c>
      <c r="E259" s="2" t="s">
        <v>293</v>
      </c>
      <c r="F259" s="4" t="s">
        <v>28</v>
      </c>
      <c r="G259" s="4" t="s">
        <v>28</v>
      </c>
      <c r="H259" s="7">
        <v>34465</v>
      </c>
      <c r="I259" s="21">
        <f t="shared" ca="1" si="18"/>
        <v>32</v>
      </c>
      <c r="J259" s="8">
        <v>0</v>
      </c>
      <c r="K259" s="8">
        <v>0</v>
      </c>
      <c r="L259" s="8">
        <v>65000</v>
      </c>
      <c r="M259" s="8">
        <f>(Table2[[#This Row],[Salary/
Week]]*52)</f>
        <v>3380000</v>
      </c>
      <c r="N259" s="9">
        <v>44719</v>
      </c>
      <c r="O259" s="10">
        <v>47299</v>
      </c>
      <c r="P259" s="4">
        <f t="shared" ca="1" si="19"/>
        <v>4</v>
      </c>
      <c r="Q259" s="4">
        <f t="shared" ca="1" si="20"/>
        <v>2</v>
      </c>
      <c r="R259" s="4">
        <f t="shared" ca="1" si="21"/>
        <v>33</v>
      </c>
      <c r="S259" s="4"/>
      <c r="T259" s="4"/>
      <c r="U259" s="4"/>
      <c r="V259" s="4" t="s">
        <v>396</v>
      </c>
      <c r="W259" s="2"/>
      <c r="X259" s="4"/>
    </row>
    <row r="260" spans="1:24" x14ac:dyDescent="0.25">
      <c r="A260" s="1" t="s">
        <v>283</v>
      </c>
      <c r="B260" s="4"/>
      <c r="C260" s="5" t="s">
        <v>401</v>
      </c>
      <c r="D260" s="12">
        <v>6</v>
      </c>
      <c r="E260" s="2" t="s">
        <v>294</v>
      </c>
      <c r="F260" s="4" t="s">
        <v>28</v>
      </c>
      <c r="G260" s="4" t="s">
        <v>28</v>
      </c>
      <c r="H260" s="7">
        <v>34558</v>
      </c>
      <c r="I260" s="21">
        <f t="shared" ca="1" si="18"/>
        <v>32</v>
      </c>
      <c r="J260" s="8">
        <v>0</v>
      </c>
      <c r="K260" s="8">
        <v>0</v>
      </c>
      <c r="L260" s="8">
        <v>56000</v>
      </c>
      <c r="M260" s="8">
        <f>(Table2[[#This Row],[Salary/
Week]]*52)</f>
        <v>2912000</v>
      </c>
      <c r="N260" s="9">
        <v>45481</v>
      </c>
      <c r="O260" s="10">
        <v>47664</v>
      </c>
      <c r="P260" s="4">
        <f t="shared" ca="1" si="19"/>
        <v>2</v>
      </c>
      <c r="Q260" s="4">
        <f t="shared" ca="1" si="20"/>
        <v>3</v>
      </c>
      <c r="R260" s="4">
        <f t="shared" ca="1" si="21"/>
        <v>45</v>
      </c>
      <c r="S260" s="4"/>
      <c r="T260" s="4"/>
      <c r="U260" s="4"/>
      <c r="V260" s="4" t="s">
        <v>397</v>
      </c>
      <c r="W260" s="2"/>
      <c r="X260" s="4"/>
    </row>
    <row r="261" spans="1:24" x14ac:dyDescent="0.25">
      <c r="A261" s="1" t="s">
        <v>283</v>
      </c>
      <c r="B261" s="4"/>
      <c r="C261" s="5" t="s">
        <v>402</v>
      </c>
      <c r="D261" s="12">
        <v>19</v>
      </c>
      <c r="E261" s="2" t="s">
        <v>454</v>
      </c>
      <c r="F261" s="4" t="s">
        <v>28</v>
      </c>
      <c r="G261" s="4" t="s">
        <v>28</v>
      </c>
      <c r="H261" s="7">
        <v>40318</v>
      </c>
      <c r="I261" s="21">
        <f ca="1">DATEDIF(H261,TODAY(),"Y")</f>
        <v>16</v>
      </c>
      <c r="J261" s="8">
        <v>8000000</v>
      </c>
      <c r="K261" s="8">
        <v>10000000</v>
      </c>
      <c r="L261" s="8">
        <v>8000</v>
      </c>
      <c r="M261" s="8">
        <f>(Table2[[#This Row],[Salary/
Week]]*52)</f>
        <v>416000</v>
      </c>
      <c r="N261" s="9">
        <v>46204</v>
      </c>
      <c r="O261" s="10">
        <v>50221</v>
      </c>
      <c r="P261" s="4">
        <f ca="1">DATEDIF(N261,TODAY(),"Y")</f>
        <v>0</v>
      </c>
      <c r="Q261" s="4">
        <f ca="1">DATEDIF(TODAY(),O261,"y")</f>
        <v>10</v>
      </c>
      <c r="R261" s="4">
        <f ca="1">DATEDIF(TODAY(),O261,"m")</f>
        <v>129</v>
      </c>
      <c r="S261" s="4"/>
      <c r="T261" s="4"/>
      <c r="U261" s="4"/>
      <c r="V261" s="4" t="s">
        <v>397</v>
      </c>
      <c r="W261" s="2"/>
      <c r="X261" s="4"/>
    </row>
    <row r="262" spans="1:24" x14ac:dyDescent="0.25">
      <c r="A262" s="1" t="s">
        <v>283</v>
      </c>
      <c r="B262" s="4"/>
      <c r="C262" s="5" t="s">
        <v>401</v>
      </c>
      <c r="D262" s="12">
        <v>25</v>
      </c>
      <c r="E262" s="2" t="s">
        <v>295</v>
      </c>
      <c r="F262" s="4" t="s">
        <v>29</v>
      </c>
      <c r="G262" s="4" t="s">
        <v>30</v>
      </c>
      <c r="H262" s="7">
        <v>36573</v>
      </c>
      <c r="I262" s="21">
        <f t="shared" ca="1" si="18"/>
        <v>26</v>
      </c>
      <c r="J262" s="8">
        <v>0</v>
      </c>
      <c r="K262" s="8">
        <v>0</v>
      </c>
      <c r="L262" s="8">
        <v>23000</v>
      </c>
      <c r="M262" s="8">
        <f>(Table2[[#This Row],[Salary/
Week]]*52)</f>
        <v>1196000</v>
      </c>
      <c r="N262" s="9">
        <v>44224</v>
      </c>
      <c r="O262" s="10">
        <v>47299</v>
      </c>
      <c r="P262" s="4">
        <f t="shared" ca="1" si="19"/>
        <v>5</v>
      </c>
      <c r="Q262" s="4">
        <f t="shared" ca="1" si="20"/>
        <v>2</v>
      </c>
      <c r="R262" s="4">
        <f t="shared" ca="1" si="21"/>
        <v>33</v>
      </c>
      <c r="S262" s="4"/>
      <c r="T262" s="4"/>
      <c r="U262" s="4"/>
      <c r="V262" s="4" t="s">
        <v>397</v>
      </c>
      <c r="W262" s="2"/>
      <c r="X262" s="4"/>
    </row>
    <row r="263" spans="1:24" x14ac:dyDescent="0.25">
      <c r="A263" s="1" t="s">
        <v>283</v>
      </c>
      <c r="B263" s="4"/>
      <c r="C263" s="5" t="s">
        <v>401</v>
      </c>
      <c r="D263" s="12">
        <v>24</v>
      </c>
      <c r="E263" s="2" t="s">
        <v>296</v>
      </c>
      <c r="F263" s="4" t="s">
        <v>29</v>
      </c>
      <c r="G263" s="4" t="s">
        <v>30</v>
      </c>
      <c r="H263" s="7">
        <v>37216</v>
      </c>
      <c r="I263" s="21">
        <f t="shared" ca="1" si="18"/>
        <v>24</v>
      </c>
      <c r="J263" s="8">
        <v>0</v>
      </c>
      <c r="K263" s="8">
        <v>0</v>
      </c>
      <c r="L263" s="8">
        <v>24000</v>
      </c>
      <c r="M263" s="8">
        <f>(Table2[[#This Row],[Salary/
Week]]*52)</f>
        <v>1248000</v>
      </c>
      <c r="N263" s="9">
        <v>44754</v>
      </c>
      <c r="O263" s="10">
        <v>47664</v>
      </c>
      <c r="P263" s="4">
        <f t="shared" ca="1" si="19"/>
        <v>4</v>
      </c>
      <c r="Q263" s="4">
        <f t="shared" ca="1" si="20"/>
        <v>3</v>
      </c>
      <c r="R263" s="4">
        <f t="shared" ca="1" si="21"/>
        <v>45</v>
      </c>
      <c r="S263" s="4"/>
      <c r="T263" s="4"/>
      <c r="U263" s="4"/>
      <c r="V263" s="4" t="s">
        <v>397</v>
      </c>
      <c r="W263" s="2"/>
      <c r="X263" s="4"/>
    </row>
    <row r="264" spans="1:24" x14ac:dyDescent="0.25">
      <c r="A264" s="1" t="s">
        <v>283</v>
      </c>
      <c r="B264" s="4"/>
      <c r="C264" s="5" t="s">
        <v>400</v>
      </c>
      <c r="D264" s="12">
        <v>8</v>
      </c>
      <c r="E264" s="2" t="s">
        <v>297</v>
      </c>
      <c r="F264" s="4" t="s">
        <v>29</v>
      </c>
      <c r="G264" s="4" t="s">
        <v>30</v>
      </c>
      <c r="H264" s="7">
        <v>37662</v>
      </c>
      <c r="I264" s="21">
        <f t="shared" ca="1" si="18"/>
        <v>23</v>
      </c>
      <c r="J264" s="8">
        <v>3000000</v>
      </c>
      <c r="K264" s="8">
        <v>52000000</v>
      </c>
      <c r="L264" s="8">
        <v>41000</v>
      </c>
      <c r="M264" s="8">
        <f>(Table2[[#This Row],[Salary/
Week]]*52)</f>
        <v>2132000</v>
      </c>
      <c r="N264" s="9">
        <v>45098</v>
      </c>
      <c r="O264" s="10">
        <v>46934</v>
      </c>
      <c r="P264" s="4">
        <f t="shared" ca="1" si="19"/>
        <v>3</v>
      </c>
      <c r="Q264" s="4">
        <f t="shared" ca="1" si="20"/>
        <v>1</v>
      </c>
      <c r="R264" s="4">
        <f t="shared" ca="1" si="21"/>
        <v>21</v>
      </c>
      <c r="S264" s="4"/>
      <c r="T264" s="4"/>
      <c r="U264" s="4"/>
      <c r="V264" s="4" t="s">
        <v>397</v>
      </c>
      <c r="W264" s="2"/>
      <c r="X264" s="4"/>
    </row>
    <row r="265" spans="1:24" x14ac:dyDescent="0.25">
      <c r="A265" s="1" t="s">
        <v>283</v>
      </c>
      <c r="B265" s="4"/>
      <c r="C265" s="5" t="s">
        <v>401</v>
      </c>
      <c r="D265" s="12">
        <v>17</v>
      </c>
      <c r="E265" s="2" t="s">
        <v>298</v>
      </c>
      <c r="F265" s="4" t="s">
        <v>29</v>
      </c>
      <c r="G265" s="4" t="s">
        <v>32</v>
      </c>
      <c r="H265" s="7">
        <v>36064</v>
      </c>
      <c r="I265" s="21">
        <f t="shared" ca="1" si="18"/>
        <v>27</v>
      </c>
      <c r="J265" s="8">
        <v>0</v>
      </c>
      <c r="K265" s="8">
        <v>650000</v>
      </c>
      <c r="L265" s="8">
        <v>27600</v>
      </c>
      <c r="M265" s="8">
        <f>(Table2[[#This Row],[Salary/
Week]]*52)</f>
        <v>1435200</v>
      </c>
      <c r="N265" s="9">
        <v>45308</v>
      </c>
      <c r="O265" s="10">
        <v>47299</v>
      </c>
      <c r="P265" s="4">
        <f t="shared" ca="1" si="19"/>
        <v>2</v>
      </c>
      <c r="Q265" s="4">
        <f t="shared" ca="1" si="20"/>
        <v>2</v>
      </c>
      <c r="R265" s="4">
        <f t="shared" ca="1" si="21"/>
        <v>33</v>
      </c>
      <c r="S265" s="4"/>
      <c r="T265" s="4"/>
      <c r="U265" s="4"/>
      <c r="V265" s="4" t="s">
        <v>397</v>
      </c>
      <c r="W265" s="2"/>
      <c r="X265" s="4"/>
    </row>
    <row r="266" spans="1:24" x14ac:dyDescent="0.25">
      <c r="A266" s="1" t="s">
        <v>283</v>
      </c>
      <c r="B266" s="4"/>
      <c r="C266" s="5" t="s">
        <v>400</v>
      </c>
      <c r="D266" s="12">
        <v>10</v>
      </c>
      <c r="E266" s="2" t="s">
        <v>299</v>
      </c>
      <c r="F266" s="4" t="s">
        <v>29</v>
      </c>
      <c r="G266" s="4" t="s">
        <v>32</v>
      </c>
      <c r="H266" s="7">
        <v>38057</v>
      </c>
      <c r="I266" s="21">
        <f t="shared" ca="1" si="18"/>
        <v>22</v>
      </c>
      <c r="J266" s="8">
        <v>0</v>
      </c>
      <c r="K266" s="8">
        <v>40000000</v>
      </c>
      <c r="L266" s="8">
        <v>15000</v>
      </c>
      <c r="M266" s="8">
        <f>(Table2[[#This Row],[Salary/
Week]]*52)</f>
        <v>780000</v>
      </c>
      <c r="N266" s="9">
        <v>45506</v>
      </c>
      <c r="O266" s="10">
        <v>48395</v>
      </c>
      <c r="P266" s="4">
        <f t="shared" ca="1" si="19"/>
        <v>2</v>
      </c>
      <c r="Q266" s="4">
        <f t="shared" ca="1" si="20"/>
        <v>5</v>
      </c>
      <c r="R266" s="4">
        <f t="shared" ca="1" si="21"/>
        <v>69</v>
      </c>
      <c r="S266" s="4"/>
      <c r="T266" s="4"/>
      <c r="U266" s="4"/>
      <c r="V266" s="4" t="s">
        <v>397</v>
      </c>
      <c r="W266" s="2"/>
      <c r="X266" s="4"/>
    </row>
    <row r="267" spans="1:24" x14ac:dyDescent="0.25">
      <c r="A267" s="1" t="s">
        <v>283</v>
      </c>
      <c r="B267" s="4"/>
      <c r="C267" s="5" t="s">
        <v>401</v>
      </c>
      <c r="D267" s="12">
        <v>68</v>
      </c>
      <c r="E267" s="2" t="s">
        <v>300</v>
      </c>
      <c r="F267" s="4" t="s">
        <v>33</v>
      </c>
      <c r="G267" s="4" t="s">
        <v>36</v>
      </c>
      <c r="H267" s="7">
        <v>38349</v>
      </c>
      <c r="I267" s="21">
        <f t="shared" ca="1" si="18"/>
        <v>21</v>
      </c>
      <c r="J267" s="8">
        <v>0</v>
      </c>
      <c r="K267" s="8">
        <v>0</v>
      </c>
      <c r="L267" s="8">
        <v>50500</v>
      </c>
      <c r="M267" s="8">
        <f>(Table2[[#This Row],[Salary/
Week]]*52)</f>
        <v>2626000</v>
      </c>
      <c r="N267" s="9">
        <v>44803</v>
      </c>
      <c r="O267" s="10">
        <v>47664</v>
      </c>
      <c r="P267" s="4">
        <f t="shared" ca="1" si="19"/>
        <v>4</v>
      </c>
      <c r="Q267" s="4">
        <f t="shared" ca="1" si="20"/>
        <v>3</v>
      </c>
      <c r="R267" s="4">
        <f t="shared" ca="1" si="21"/>
        <v>45</v>
      </c>
      <c r="S267" s="4"/>
      <c r="T267" s="4"/>
      <c r="U267" s="4"/>
      <c r="V267" s="4" t="s">
        <v>396</v>
      </c>
      <c r="W267" s="2"/>
      <c r="X267" s="4"/>
    </row>
    <row r="268" spans="1:24" x14ac:dyDescent="0.25">
      <c r="A268" s="1" t="s">
        <v>283</v>
      </c>
      <c r="B268" s="4" t="s">
        <v>57</v>
      </c>
      <c r="C268" s="5" t="s">
        <v>400</v>
      </c>
      <c r="D268" s="12">
        <v>18</v>
      </c>
      <c r="E268" s="2" t="s">
        <v>301</v>
      </c>
      <c r="F268" s="4" t="s">
        <v>33</v>
      </c>
      <c r="G268" s="4" t="s">
        <v>31</v>
      </c>
      <c r="H268" s="7">
        <v>34741</v>
      </c>
      <c r="I268" s="21">
        <f t="shared" ca="1" si="18"/>
        <v>31</v>
      </c>
      <c r="J268" s="8">
        <v>0</v>
      </c>
      <c r="K268" s="8">
        <v>0</v>
      </c>
      <c r="L268" s="8">
        <v>48000</v>
      </c>
      <c r="M268" s="8">
        <f>(Table2[[#This Row],[Salary/
Week]]*52)</f>
        <v>2496000</v>
      </c>
      <c r="N268" s="9">
        <v>44425</v>
      </c>
      <c r="O268" s="10">
        <v>46568</v>
      </c>
      <c r="P268" s="4">
        <f t="shared" ca="1" si="19"/>
        <v>5</v>
      </c>
      <c r="Q268" s="4">
        <f t="shared" ca="1" si="20"/>
        <v>0</v>
      </c>
      <c r="R268" s="4">
        <f t="shared" ca="1" si="21"/>
        <v>9</v>
      </c>
      <c r="S268" s="4"/>
      <c r="T268" s="4"/>
      <c r="U268" s="4"/>
      <c r="V268" s="4" t="s">
        <v>398</v>
      </c>
      <c r="W268" s="2"/>
      <c r="X268" s="4"/>
    </row>
    <row r="269" spans="1:24" x14ac:dyDescent="0.25">
      <c r="A269" s="1" t="s">
        <v>283</v>
      </c>
      <c r="B269" s="4"/>
      <c r="C269" s="5" t="s">
        <v>401</v>
      </c>
      <c r="D269" s="12">
        <v>9</v>
      </c>
      <c r="E269" s="2" t="s">
        <v>302</v>
      </c>
      <c r="F269" s="4" t="s">
        <v>36</v>
      </c>
      <c r="G269" s="4" t="s">
        <v>31</v>
      </c>
      <c r="H269" s="7">
        <v>36768</v>
      </c>
      <c r="I269" s="21">
        <f t="shared" ca="1" si="18"/>
        <v>26</v>
      </c>
      <c r="J269" s="8">
        <v>5000</v>
      </c>
      <c r="K269" s="8">
        <v>550000</v>
      </c>
      <c r="L269" s="8">
        <v>18000</v>
      </c>
      <c r="M269" s="8">
        <f>(Table2[[#This Row],[Salary/
Week]]*52)</f>
        <v>936000</v>
      </c>
      <c r="N269" s="9">
        <v>45882</v>
      </c>
      <c r="O269" s="10">
        <v>48395</v>
      </c>
      <c r="P269" s="4">
        <f t="shared" ca="1" si="19"/>
        <v>1</v>
      </c>
      <c r="Q269" s="4">
        <f t="shared" ca="1" si="20"/>
        <v>5</v>
      </c>
      <c r="R269" s="4">
        <f t="shared" ca="1" si="21"/>
        <v>69</v>
      </c>
      <c r="S269" s="4"/>
      <c r="T269" s="4"/>
      <c r="U269" s="4"/>
      <c r="V269" s="4" t="s">
        <v>396</v>
      </c>
      <c r="W269" s="2"/>
      <c r="X269" s="4"/>
    </row>
    <row r="270" spans="1:24" x14ac:dyDescent="0.25">
      <c r="A270" s="1" t="s">
        <v>283</v>
      </c>
      <c r="B270" s="4"/>
      <c r="C270" s="5" t="s">
        <v>400</v>
      </c>
      <c r="D270" s="12">
        <v>7</v>
      </c>
      <c r="E270" s="2" t="s">
        <v>87</v>
      </c>
      <c r="F270" s="4" t="s">
        <v>36</v>
      </c>
      <c r="G270" s="4" t="s">
        <v>33</v>
      </c>
      <c r="H270" s="7">
        <v>36280</v>
      </c>
      <c r="I270" s="21">
        <f ca="1">DATEDIF(H270,TODAY(),"Y")</f>
        <v>27</v>
      </c>
      <c r="J270" s="8">
        <v>0</v>
      </c>
      <c r="K270" s="8">
        <v>15000000</v>
      </c>
      <c r="L270" s="8">
        <v>300000</v>
      </c>
      <c r="M270" s="8">
        <f>(Table2[[#This Row],[Salary/
Week]]*52)</f>
        <v>15600000</v>
      </c>
      <c r="N270" s="9">
        <v>46228</v>
      </c>
      <c r="O270" s="10">
        <v>47299</v>
      </c>
      <c r="P270" s="4">
        <f ca="1">DATEDIF(N270,TODAY(),"Y")</f>
        <v>0</v>
      </c>
      <c r="Q270" s="4">
        <f ca="1">DATEDIF(TODAY(),O270,"y")</f>
        <v>2</v>
      </c>
      <c r="R270" s="4">
        <f ca="1">DATEDIF(TODAY(),O270,"m")</f>
        <v>33</v>
      </c>
      <c r="S270" s="4"/>
      <c r="T270" s="4"/>
      <c r="U270" s="4"/>
      <c r="V270" s="4" t="s">
        <v>398</v>
      </c>
      <c r="W270" s="2"/>
      <c r="X270" s="4"/>
    </row>
    <row r="271" spans="1:24" x14ac:dyDescent="0.25">
      <c r="A271" s="1" t="s">
        <v>283</v>
      </c>
      <c r="B271" s="4"/>
      <c r="C271" s="5" t="s">
        <v>401</v>
      </c>
      <c r="D271" s="12">
        <v>11</v>
      </c>
      <c r="E271" s="2" t="s">
        <v>303</v>
      </c>
      <c r="F271" s="4" t="s">
        <v>31</v>
      </c>
      <c r="G271" s="4" t="s">
        <v>31</v>
      </c>
      <c r="H271" s="7">
        <v>36155</v>
      </c>
      <c r="I271" s="21">
        <f t="shared" ca="1" si="18"/>
        <v>27</v>
      </c>
      <c r="J271" s="8">
        <v>0</v>
      </c>
      <c r="K271" s="8">
        <v>0</v>
      </c>
      <c r="L271" s="8">
        <v>46000</v>
      </c>
      <c r="M271" s="8">
        <f>(Table2[[#This Row],[Salary/
Week]]*52)</f>
        <v>2392000</v>
      </c>
      <c r="N271" s="9">
        <v>45500</v>
      </c>
      <c r="O271" s="10">
        <v>46934</v>
      </c>
      <c r="P271" s="4">
        <f t="shared" ca="1" si="19"/>
        <v>2</v>
      </c>
      <c r="Q271" s="4">
        <f t="shared" ca="1" si="20"/>
        <v>1</v>
      </c>
      <c r="R271" s="4">
        <f t="shared" ca="1" si="21"/>
        <v>21</v>
      </c>
      <c r="S271" s="4"/>
      <c r="T271" s="4"/>
      <c r="U271" s="4"/>
      <c r="V271" s="4" t="s">
        <v>397</v>
      </c>
      <c r="W271" s="2"/>
      <c r="X271" s="4"/>
    </row>
    <row r="272" spans="1:24" x14ac:dyDescent="0.25">
      <c r="A272" s="1" t="s">
        <v>283</v>
      </c>
      <c r="B272" s="4"/>
      <c r="C272" s="5" t="s">
        <v>400</v>
      </c>
      <c r="D272" s="12">
        <v>33</v>
      </c>
      <c r="E272" s="2" t="s">
        <v>304</v>
      </c>
      <c r="F272" s="4" t="s">
        <v>31</v>
      </c>
      <c r="G272" s="4" t="s">
        <v>31</v>
      </c>
      <c r="H272" s="7">
        <v>38020</v>
      </c>
      <c r="I272" s="21">
        <f t="shared" ca="1" si="18"/>
        <v>22</v>
      </c>
      <c r="J272" s="8">
        <v>0</v>
      </c>
      <c r="K272" s="8">
        <v>0</v>
      </c>
      <c r="L272" s="8">
        <v>27000</v>
      </c>
      <c r="M272" s="8">
        <f>(Table2[[#This Row],[Salary/
Week]]*52)</f>
        <v>1404000</v>
      </c>
      <c r="N272" s="9">
        <v>44380</v>
      </c>
      <c r="O272" s="10">
        <v>46934</v>
      </c>
      <c r="P272" s="4">
        <f t="shared" ca="1" si="19"/>
        <v>5</v>
      </c>
      <c r="Q272" s="4">
        <f t="shared" ca="1" si="20"/>
        <v>1</v>
      </c>
      <c r="R272" s="4">
        <f t="shared" ca="1" si="21"/>
        <v>21</v>
      </c>
      <c r="S272" s="4"/>
      <c r="T272" s="4"/>
      <c r="U272" s="4"/>
      <c r="V272" s="4" t="s">
        <v>396</v>
      </c>
      <c r="W272" s="2"/>
      <c r="X272" s="4"/>
    </row>
    <row r="273" spans="1:24" x14ac:dyDescent="0.25">
      <c r="A273" s="1" t="s">
        <v>305</v>
      </c>
      <c r="B273" s="4"/>
      <c r="C273" s="5" t="s">
        <v>400</v>
      </c>
      <c r="D273" s="12">
        <v>1</v>
      </c>
      <c r="E273" s="2" t="s">
        <v>306</v>
      </c>
      <c r="F273" s="4" t="s">
        <v>23</v>
      </c>
      <c r="G273" s="4" t="s">
        <v>23</v>
      </c>
      <c r="H273" s="7">
        <v>34011</v>
      </c>
      <c r="I273" s="21">
        <f t="shared" ca="1" si="18"/>
        <v>33</v>
      </c>
      <c r="J273" s="8">
        <v>15500000</v>
      </c>
      <c r="K273" s="8">
        <v>6500000</v>
      </c>
      <c r="L273" s="8">
        <v>55000</v>
      </c>
      <c r="M273" s="8">
        <f>(Table2[[#This Row],[Salary/
Week]]*52)</f>
        <v>2860000</v>
      </c>
      <c r="N273" s="9">
        <v>44951</v>
      </c>
      <c r="O273" s="10">
        <v>46934</v>
      </c>
      <c r="P273" s="4">
        <f t="shared" ca="1" si="19"/>
        <v>3</v>
      </c>
      <c r="Q273" s="4">
        <f t="shared" ca="1" si="20"/>
        <v>1</v>
      </c>
      <c r="R273" s="4">
        <f t="shared" ca="1" si="21"/>
        <v>21</v>
      </c>
      <c r="S273" s="4"/>
      <c r="T273" s="4"/>
      <c r="U273" s="4"/>
      <c r="V273" s="4" t="s">
        <v>396</v>
      </c>
      <c r="W273" s="2"/>
      <c r="X273" s="4"/>
    </row>
    <row r="274" spans="1:24" x14ac:dyDescent="0.25">
      <c r="A274" s="1" t="s">
        <v>305</v>
      </c>
      <c r="B274" s="4"/>
      <c r="C274" s="5" t="s">
        <v>401</v>
      </c>
      <c r="D274" s="12">
        <v>45</v>
      </c>
      <c r="E274" s="2" t="s">
        <v>307</v>
      </c>
      <c r="F274" s="4" t="s">
        <v>23</v>
      </c>
      <c r="G274" s="4" t="s">
        <v>23</v>
      </c>
      <c r="H274" s="7">
        <v>36767</v>
      </c>
      <c r="I274" s="21">
        <f t="shared" ca="1" si="18"/>
        <v>26</v>
      </c>
      <c r="J274" s="8">
        <v>1000000</v>
      </c>
      <c r="K274" s="8">
        <v>2000000</v>
      </c>
      <c r="L274" s="8">
        <v>55000</v>
      </c>
      <c r="M274" s="8">
        <f>(Table2[[#This Row],[Salary/
Week]]*52)</f>
        <v>2860000</v>
      </c>
      <c r="N274" s="9">
        <v>44731</v>
      </c>
      <c r="O274" s="10">
        <v>46934</v>
      </c>
      <c r="P274" s="4">
        <f t="shared" ca="1" si="19"/>
        <v>4</v>
      </c>
      <c r="Q274" s="4">
        <f t="shared" ca="1" si="20"/>
        <v>1</v>
      </c>
      <c r="R274" s="4">
        <f t="shared" ca="1" si="21"/>
        <v>21</v>
      </c>
      <c r="S274" s="4"/>
      <c r="T274" s="4"/>
      <c r="U274" s="4"/>
      <c r="V274" s="4" t="s">
        <v>397</v>
      </c>
      <c r="W274" s="2"/>
      <c r="X274" s="4"/>
    </row>
    <row r="275" spans="1:24" x14ac:dyDescent="0.25">
      <c r="A275" s="1" t="s">
        <v>305</v>
      </c>
      <c r="B275" s="4" t="s">
        <v>47</v>
      </c>
      <c r="C275" s="5" t="s">
        <v>400</v>
      </c>
      <c r="D275" s="12">
        <v>21</v>
      </c>
      <c r="E275" s="2" t="s">
        <v>308</v>
      </c>
      <c r="F275" s="4" t="s">
        <v>25</v>
      </c>
      <c r="G275" s="4" t="s">
        <v>25</v>
      </c>
      <c r="H275" s="7">
        <v>36454</v>
      </c>
      <c r="I275" s="21">
        <f t="shared" ref="I275:I342" ca="1" si="22">DATEDIF(H275,TODAY(),"Y")</f>
        <v>26</v>
      </c>
      <c r="J275" s="8">
        <v>0</v>
      </c>
      <c r="K275" s="8">
        <v>9000000</v>
      </c>
      <c r="L275" s="8">
        <v>66000</v>
      </c>
      <c r="M275" s="8">
        <f>(Table2[[#This Row],[Salary/
Week]]*52)</f>
        <v>3432000</v>
      </c>
      <c r="N275" s="9">
        <v>44432</v>
      </c>
      <c r="O275" s="10">
        <v>47664</v>
      </c>
      <c r="P275" s="4">
        <f t="shared" ref="P275:P342" ca="1" si="23">DATEDIF(N275,TODAY(),"Y")</f>
        <v>5</v>
      </c>
      <c r="Q275" s="4">
        <f t="shared" ref="Q275:Q342" ca="1" si="24">DATEDIF(TODAY(),O275,"y")</f>
        <v>3</v>
      </c>
      <c r="R275" s="4">
        <f t="shared" ref="R275:R342" ca="1" si="25">DATEDIF(TODAY(),O275,"m")</f>
        <v>45</v>
      </c>
      <c r="S275" s="4"/>
      <c r="T275" s="4"/>
      <c r="U275" s="4"/>
      <c r="V275" s="4" t="s">
        <v>398</v>
      </c>
      <c r="W275" s="2"/>
      <c r="X275" s="4"/>
    </row>
    <row r="276" spans="1:24" x14ac:dyDescent="0.25">
      <c r="A276" s="1" t="s">
        <v>305</v>
      </c>
      <c r="B276" s="4"/>
      <c r="C276" s="5" t="s">
        <v>401</v>
      </c>
      <c r="D276" s="12">
        <v>2</v>
      </c>
      <c r="E276" s="2" t="s">
        <v>309</v>
      </c>
      <c r="F276" s="4" t="s">
        <v>25</v>
      </c>
      <c r="G276" s="4" t="s">
        <v>25</v>
      </c>
      <c r="H276" s="7">
        <v>38938</v>
      </c>
      <c r="I276" s="21">
        <f t="shared" ca="1" si="22"/>
        <v>20</v>
      </c>
      <c r="J276" s="8">
        <v>0</v>
      </c>
      <c r="K276" s="8">
        <v>800000</v>
      </c>
      <c r="L276" s="8">
        <v>35000</v>
      </c>
      <c r="M276" s="8">
        <f>(Table2[[#This Row],[Salary/
Week]]*52)</f>
        <v>1820000</v>
      </c>
      <c r="N276" s="9">
        <v>45124</v>
      </c>
      <c r="O276" s="10">
        <v>46934</v>
      </c>
      <c r="P276" s="4">
        <f t="shared" ca="1" si="23"/>
        <v>3</v>
      </c>
      <c r="Q276" s="4">
        <f t="shared" ca="1" si="24"/>
        <v>1</v>
      </c>
      <c r="R276" s="4">
        <f t="shared" ca="1" si="25"/>
        <v>21</v>
      </c>
      <c r="S276" s="4"/>
      <c r="T276" s="4"/>
      <c r="U276" s="4"/>
      <c r="V276" s="4" t="s">
        <v>396</v>
      </c>
      <c r="W276" s="2"/>
      <c r="X276" s="4"/>
    </row>
    <row r="277" spans="1:24" x14ac:dyDescent="0.25">
      <c r="A277" s="1" t="s">
        <v>305</v>
      </c>
      <c r="B277" s="4"/>
      <c r="C277" s="5" t="s">
        <v>401</v>
      </c>
      <c r="D277" s="12">
        <v>5</v>
      </c>
      <c r="E277" s="2" t="s">
        <v>310</v>
      </c>
      <c r="F277" s="4" t="s">
        <v>26</v>
      </c>
      <c r="G277" s="4" t="s">
        <v>26</v>
      </c>
      <c r="H277" s="7">
        <v>38096</v>
      </c>
      <c r="I277" s="21">
        <f t="shared" ca="1" si="22"/>
        <v>22</v>
      </c>
      <c r="J277" s="8">
        <v>0</v>
      </c>
      <c r="K277" s="8">
        <v>0</v>
      </c>
      <c r="L277" s="8">
        <v>40000</v>
      </c>
      <c r="M277" s="8">
        <f>(Table2[[#This Row],[Salary/
Week]]*52)</f>
        <v>2080000</v>
      </c>
      <c r="N277" s="9">
        <v>44074</v>
      </c>
      <c r="O277" s="10">
        <v>48395</v>
      </c>
      <c r="P277" s="4">
        <f t="shared" ca="1" si="23"/>
        <v>6</v>
      </c>
      <c r="Q277" s="4">
        <f t="shared" ca="1" si="24"/>
        <v>5</v>
      </c>
      <c r="R277" s="4">
        <f t="shared" ca="1" si="25"/>
        <v>69</v>
      </c>
      <c r="S277" s="4"/>
      <c r="T277" s="4"/>
      <c r="U277" s="4"/>
      <c r="V277" s="4" t="s">
        <v>396</v>
      </c>
      <c r="W277" s="2"/>
      <c r="X277" s="4"/>
    </row>
    <row r="278" spans="1:24" x14ac:dyDescent="0.25">
      <c r="A278" s="1" t="s">
        <v>305</v>
      </c>
      <c r="B278" s="4"/>
      <c r="C278" s="5" t="s">
        <v>400</v>
      </c>
      <c r="D278" s="12">
        <v>43</v>
      </c>
      <c r="E278" s="2" t="s">
        <v>311</v>
      </c>
      <c r="F278" s="4" t="s">
        <v>26</v>
      </c>
      <c r="G278" s="4" t="s">
        <v>26</v>
      </c>
      <c r="H278" s="7">
        <v>38009</v>
      </c>
      <c r="I278" s="21">
        <f t="shared" ca="1" si="22"/>
        <v>22</v>
      </c>
      <c r="J278" s="8">
        <v>0</v>
      </c>
      <c r="K278" s="8">
        <v>0</v>
      </c>
      <c r="L278" s="8">
        <v>50000</v>
      </c>
      <c r="M278" s="8">
        <f>(Table2[[#This Row],[Salary/
Week]]*52)</f>
        <v>2600000</v>
      </c>
      <c r="N278" s="9">
        <v>45521</v>
      </c>
      <c r="O278" s="10">
        <v>46568</v>
      </c>
      <c r="P278" s="4">
        <f t="shared" ca="1" si="23"/>
        <v>2</v>
      </c>
      <c r="Q278" s="4">
        <f t="shared" ca="1" si="24"/>
        <v>0</v>
      </c>
      <c r="R278" s="4">
        <f t="shared" ca="1" si="25"/>
        <v>9</v>
      </c>
      <c r="S278" s="4"/>
      <c r="T278" s="4"/>
      <c r="U278" s="4"/>
      <c r="V278" s="4" t="s">
        <v>396</v>
      </c>
      <c r="W278" s="2"/>
      <c r="X278" s="4"/>
    </row>
    <row r="279" spans="1:24" x14ac:dyDescent="0.25">
      <c r="A279" s="1" t="s">
        <v>305</v>
      </c>
      <c r="B279" s="4" t="s">
        <v>57</v>
      </c>
      <c r="C279" s="5" t="s">
        <v>400</v>
      </c>
      <c r="D279" s="12">
        <v>15</v>
      </c>
      <c r="E279" s="2" t="s">
        <v>312</v>
      </c>
      <c r="F279" s="4" t="s">
        <v>26</v>
      </c>
      <c r="G279" s="4" t="s">
        <v>26</v>
      </c>
      <c r="H279" s="7">
        <v>35635</v>
      </c>
      <c r="I279" s="21">
        <f t="shared" ca="1" si="22"/>
        <v>29</v>
      </c>
      <c r="J279" s="8">
        <v>20000000</v>
      </c>
      <c r="K279" s="8">
        <v>18500000</v>
      </c>
      <c r="L279" s="8">
        <v>120000</v>
      </c>
      <c r="M279" s="8">
        <f>(Table2[[#This Row],[Salary/
Week]]*52)</f>
        <v>6240000</v>
      </c>
      <c r="N279" s="9">
        <v>44755</v>
      </c>
      <c r="O279" s="10">
        <v>48760</v>
      </c>
      <c r="P279" s="4">
        <f t="shared" ca="1" si="23"/>
        <v>4</v>
      </c>
      <c r="Q279" s="4">
        <f t="shared" ca="1" si="24"/>
        <v>6</v>
      </c>
      <c r="R279" s="4">
        <f t="shared" ca="1" si="25"/>
        <v>81</v>
      </c>
      <c r="S279" s="4"/>
      <c r="T279" s="4"/>
      <c r="U279" s="4"/>
      <c r="V279" s="4" t="s">
        <v>397</v>
      </c>
      <c r="W279" s="2"/>
      <c r="X279" s="4"/>
    </row>
    <row r="280" spans="1:24" x14ac:dyDescent="0.25">
      <c r="A280" s="1" t="s">
        <v>305</v>
      </c>
      <c r="B280" s="4"/>
      <c r="C280" s="5" t="s">
        <v>401</v>
      </c>
      <c r="D280" s="12">
        <v>26</v>
      </c>
      <c r="E280" s="2" t="s">
        <v>314</v>
      </c>
      <c r="F280" s="4" t="s">
        <v>26</v>
      </c>
      <c r="G280" s="4" t="s">
        <v>26</v>
      </c>
      <c r="H280" s="7">
        <v>36782</v>
      </c>
      <c r="I280" s="21">
        <f t="shared" ca="1" si="22"/>
        <v>25</v>
      </c>
      <c r="J280" s="8">
        <v>8000000</v>
      </c>
      <c r="K280" s="8">
        <v>10000000</v>
      </c>
      <c r="L280" s="8">
        <v>58000</v>
      </c>
      <c r="M280" s="8">
        <f>(Table2[[#This Row],[Salary/
Week]]*52)</f>
        <v>3016000</v>
      </c>
      <c r="N280" s="9">
        <v>44717</v>
      </c>
      <c r="O280" s="10">
        <v>47299</v>
      </c>
      <c r="P280" s="4">
        <f t="shared" ca="1" si="23"/>
        <v>4</v>
      </c>
      <c r="Q280" s="4">
        <f t="shared" ca="1" si="24"/>
        <v>2</v>
      </c>
      <c r="R280" s="4">
        <f t="shared" ca="1" si="25"/>
        <v>33</v>
      </c>
      <c r="S280" s="4"/>
      <c r="T280" s="4"/>
      <c r="U280" s="4"/>
      <c r="V280" s="4" t="s">
        <v>397</v>
      </c>
      <c r="W280" s="2"/>
      <c r="X280" s="4"/>
    </row>
    <row r="281" spans="1:24" x14ac:dyDescent="0.25">
      <c r="A281" s="1" t="s">
        <v>305</v>
      </c>
      <c r="B281" s="4"/>
      <c r="C281" s="5" t="s">
        <v>400</v>
      </c>
      <c r="D281" s="12">
        <v>3</v>
      </c>
      <c r="E281" s="2" t="s">
        <v>547</v>
      </c>
      <c r="F281" s="4" t="s">
        <v>27</v>
      </c>
      <c r="G281" s="4" t="s">
        <v>27</v>
      </c>
      <c r="H281" s="7">
        <v>37399</v>
      </c>
      <c r="I281" s="21">
        <f t="shared" ca="1" si="22"/>
        <v>24</v>
      </c>
      <c r="J281" s="8">
        <v>6000000</v>
      </c>
      <c r="K281" s="8">
        <v>6000000</v>
      </c>
      <c r="L281" s="8">
        <v>47000</v>
      </c>
      <c r="M281" s="8">
        <f>(Table2[[#This Row],[Salary/
Week]]*52)</f>
        <v>2444000</v>
      </c>
      <c r="N281" s="9">
        <v>46236</v>
      </c>
      <c r="O281" s="10">
        <v>49125</v>
      </c>
      <c r="P281" s="4">
        <f t="shared" ref="P281" ca="1" si="26">DATEDIF(N281,TODAY(),"Y")</f>
        <v>0</v>
      </c>
      <c r="Q281" s="4">
        <f t="shared" ref="Q281" ca="1" si="27">DATEDIF(TODAY(),O281,"y")</f>
        <v>7</v>
      </c>
      <c r="R281" s="4">
        <f t="shared" ref="R281" ca="1" si="28">DATEDIF(TODAY(),O281,"m")</f>
        <v>93</v>
      </c>
      <c r="S281" s="4"/>
      <c r="T281" s="4"/>
      <c r="U281" s="4"/>
      <c r="V281" s="4" t="s">
        <v>397</v>
      </c>
      <c r="W281" s="2"/>
      <c r="X281" s="4"/>
    </row>
    <row r="282" spans="1:24" x14ac:dyDescent="0.25">
      <c r="A282" s="1" t="s">
        <v>305</v>
      </c>
      <c r="B282" s="4"/>
      <c r="C282" s="5" t="s">
        <v>401</v>
      </c>
      <c r="D282" s="12">
        <v>16</v>
      </c>
      <c r="E282" s="2" t="s">
        <v>316</v>
      </c>
      <c r="F282" s="4" t="s">
        <v>27</v>
      </c>
      <c r="G282" s="4" t="s">
        <v>27</v>
      </c>
      <c r="H282" s="7">
        <v>36930</v>
      </c>
      <c r="I282" s="21">
        <f t="shared" ca="1" si="22"/>
        <v>25</v>
      </c>
      <c r="J282" s="8">
        <v>0</v>
      </c>
      <c r="K282" s="8">
        <v>0</v>
      </c>
      <c r="L282" s="8">
        <v>17000</v>
      </c>
      <c r="M282" s="8">
        <f>(Table2[[#This Row],[Salary/
Week]]*52)</f>
        <v>884000</v>
      </c>
      <c r="N282" s="9">
        <v>44020</v>
      </c>
      <c r="O282" s="10">
        <v>47299</v>
      </c>
      <c r="P282" s="4">
        <f t="shared" ca="1" si="23"/>
        <v>6</v>
      </c>
      <c r="Q282" s="4">
        <f t="shared" ca="1" si="24"/>
        <v>2</v>
      </c>
      <c r="R282" s="4">
        <f t="shared" ca="1" si="25"/>
        <v>33</v>
      </c>
      <c r="S282" s="4"/>
      <c r="T282" s="4"/>
      <c r="U282" s="4"/>
      <c r="V282" s="4" t="s">
        <v>397</v>
      </c>
      <c r="W282" s="2"/>
      <c r="X282" s="4"/>
    </row>
    <row r="283" spans="1:24" x14ac:dyDescent="0.25">
      <c r="A283" s="1" t="s">
        <v>305</v>
      </c>
      <c r="B283" s="4"/>
      <c r="C283" s="5" t="s">
        <v>401</v>
      </c>
      <c r="D283" s="12">
        <v>30</v>
      </c>
      <c r="E283" s="2" t="s">
        <v>317</v>
      </c>
      <c r="F283" s="4" t="s">
        <v>28</v>
      </c>
      <c r="G283" s="4" t="s">
        <v>28</v>
      </c>
      <c r="H283" s="7">
        <v>35936</v>
      </c>
      <c r="I283" s="21">
        <f t="shared" ca="1" si="22"/>
        <v>28</v>
      </c>
      <c r="J283" s="8">
        <v>0</v>
      </c>
      <c r="K283" s="8">
        <v>20000000</v>
      </c>
      <c r="L283" s="8">
        <v>65000</v>
      </c>
      <c r="M283" s="8">
        <f>(Table2[[#This Row],[Salary/
Week]]*52)</f>
        <v>3380000</v>
      </c>
      <c r="N283" s="9">
        <v>44063</v>
      </c>
      <c r="O283" s="10">
        <v>47664</v>
      </c>
      <c r="P283" s="4">
        <f t="shared" ca="1" si="23"/>
        <v>6</v>
      </c>
      <c r="Q283" s="4">
        <f t="shared" ca="1" si="24"/>
        <v>3</v>
      </c>
      <c r="R283" s="4">
        <f t="shared" ca="1" si="25"/>
        <v>45</v>
      </c>
      <c r="S283" s="4"/>
      <c r="T283" s="4"/>
      <c r="U283" s="4"/>
      <c r="V283" s="4" t="s">
        <v>397</v>
      </c>
      <c r="W283" s="2"/>
      <c r="X283" s="4"/>
    </row>
    <row r="284" spans="1:24" x14ac:dyDescent="0.25">
      <c r="A284" s="1" t="s">
        <v>305</v>
      </c>
      <c r="B284" s="4"/>
      <c r="C284" s="5" t="s">
        <v>400</v>
      </c>
      <c r="D284" s="12">
        <v>6</v>
      </c>
      <c r="E284" s="2" t="s">
        <v>318</v>
      </c>
      <c r="F284" s="4" t="s">
        <v>28</v>
      </c>
      <c r="G284" s="4" t="s">
        <v>28</v>
      </c>
      <c r="H284" s="7">
        <v>38225</v>
      </c>
      <c r="I284" s="21">
        <f t="shared" ca="1" si="22"/>
        <v>22</v>
      </c>
      <c r="J284" s="8">
        <v>0</v>
      </c>
      <c r="K284" s="8">
        <v>900000</v>
      </c>
      <c r="L284" s="8">
        <v>40000</v>
      </c>
      <c r="M284" s="8">
        <f>(Table2[[#This Row],[Salary/
Week]]*52)</f>
        <v>2080000</v>
      </c>
      <c r="N284" s="9">
        <v>44761</v>
      </c>
      <c r="O284" s="10">
        <v>46568</v>
      </c>
      <c r="P284" s="4">
        <f t="shared" ca="1" si="23"/>
        <v>4</v>
      </c>
      <c r="Q284" s="4">
        <f t="shared" ca="1" si="24"/>
        <v>0</v>
      </c>
      <c r="R284" s="4">
        <f t="shared" ca="1" si="25"/>
        <v>9</v>
      </c>
      <c r="S284" s="4"/>
      <c r="T284" s="4"/>
      <c r="U284" s="4"/>
      <c r="V284" s="4" t="s">
        <v>398</v>
      </c>
      <c r="W284" s="2"/>
      <c r="X284" s="4"/>
    </row>
    <row r="285" spans="1:24" x14ac:dyDescent="0.25">
      <c r="A285" s="1" t="s">
        <v>305</v>
      </c>
      <c r="B285" s="4"/>
      <c r="C285" s="5" t="s">
        <v>401</v>
      </c>
      <c r="D285" s="12">
        <v>13</v>
      </c>
      <c r="E285" s="2" t="s">
        <v>319</v>
      </c>
      <c r="F285" s="4" t="s">
        <v>29</v>
      </c>
      <c r="G285" s="4" t="s">
        <v>29</v>
      </c>
      <c r="H285" s="7">
        <v>35676</v>
      </c>
      <c r="I285" s="21">
        <f t="shared" ca="1" si="22"/>
        <v>29</v>
      </c>
      <c r="J285" s="8">
        <v>19000000</v>
      </c>
      <c r="K285" s="8">
        <v>14000000</v>
      </c>
      <c r="L285" s="8">
        <v>47000</v>
      </c>
      <c r="M285" s="8">
        <f>(Table2[[#This Row],[Salary/
Week]]*52)</f>
        <v>2444000</v>
      </c>
      <c r="N285" s="9">
        <v>43991</v>
      </c>
      <c r="O285" s="10">
        <v>46568</v>
      </c>
      <c r="P285" s="4">
        <f t="shared" ca="1" si="23"/>
        <v>6</v>
      </c>
      <c r="Q285" s="4">
        <f t="shared" ca="1" si="24"/>
        <v>0</v>
      </c>
      <c r="R285" s="4">
        <f t="shared" ca="1" si="25"/>
        <v>9</v>
      </c>
      <c r="S285" s="4"/>
      <c r="T285" s="4"/>
      <c r="U285" s="4"/>
      <c r="V285" s="4" t="s">
        <v>396</v>
      </c>
      <c r="W285" s="2"/>
      <c r="X285" s="4"/>
    </row>
    <row r="286" spans="1:24" x14ac:dyDescent="0.25">
      <c r="A286" s="1" t="s">
        <v>305</v>
      </c>
      <c r="B286" s="4"/>
      <c r="C286" s="5" t="s">
        <v>400</v>
      </c>
      <c r="D286" s="12">
        <v>17</v>
      </c>
      <c r="E286" s="2" t="s">
        <v>320</v>
      </c>
      <c r="F286" s="4" t="s">
        <v>29</v>
      </c>
      <c r="G286" s="4" t="s">
        <v>29</v>
      </c>
      <c r="H286" s="7">
        <v>37240</v>
      </c>
      <c r="I286" s="21">
        <f t="shared" ca="1" si="22"/>
        <v>24</v>
      </c>
      <c r="J286" s="8">
        <v>1000000</v>
      </c>
      <c r="K286" s="8">
        <v>873000</v>
      </c>
      <c r="L286" s="8">
        <v>40000</v>
      </c>
      <c r="M286" s="8">
        <f>(Table2[[#This Row],[Salary/
Week]]*52)</f>
        <v>2080000</v>
      </c>
      <c r="N286" s="9">
        <v>44220</v>
      </c>
      <c r="O286" s="10">
        <v>47664</v>
      </c>
      <c r="P286" s="4">
        <f t="shared" ca="1" si="23"/>
        <v>5</v>
      </c>
      <c r="Q286" s="4">
        <f t="shared" ca="1" si="24"/>
        <v>3</v>
      </c>
      <c r="R286" s="4">
        <f t="shared" ca="1" si="25"/>
        <v>45</v>
      </c>
      <c r="S286" s="4"/>
      <c r="T286" s="4"/>
      <c r="U286" s="4"/>
      <c r="V286" s="4" t="s">
        <v>396</v>
      </c>
      <c r="W286" s="2"/>
      <c r="X286" s="4"/>
    </row>
    <row r="287" spans="1:24" x14ac:dyDescent="0.25">
      <c r="A287" s="1" t="s">
        <v>305</v>
      </c>
      <c r="B287" s="4"/>
      <c r="C287" s="5" t="s">
        <v>401</v>
      </c>
      <c r="D287" s="12">
        <v>31</v>
      </c>
      <c r="E287" s="2" t="s">
        <v>549</v>
      </c>
      <c r="F287" s="4" t="s">
        <v>29</v>
      </c>
      <c r="G287" s="4" t="s">
        <v>29</v>
      </c>
      <c r="H287" s="7">
        <v>37776</v>
      </c>
      <c r="I287" s="21">
        <f ca="1">DATEDIF(H287,TODAY(),"Y")</f>
        <v>23</v>
      </c>
      <c r="J287" s="8">
        <v>0</v>
      </c>
      <c r="K287" s="8">
        <v>0</v>
      </c>
      <c r="L287" s="8">
        <v>50000</v>
      </c>
      <c r="M287" s="8">
        <f>(Table2[[#This Row],[Salary/
Week]]*52)</f>
        <v>2600000</v>
      </c>
      <c r="N287" s="9">
        <v>46236</v>
      </c>
      <c r="O287" s="10">
        <v>48395</v>
      </c>
      <c r="P287" s="4">
        <f ca="1">DATEDIF(N287,TODAY(),"Y")</f>
        <v>0</v>
      </c>
      <c r="Q287" s="4">
        <f ca="1">DATEDIF(TODAY(),O287,"y")</f>
        <v>5</v>
      </c>
      <c r="R287" s="4">
        <f ca="1">DATEDIF(TODAY(),O287,"m")</f>
        <v>69</v>
      </c>
      <c r="S287" s="4"/>
      <c r="T287" s="4"/>
      <c r="U287" s="4"/>
      <c r="V287" s="4" t="s">
        <v>397</v>
      </c>
      <c r="W287" s="2"/>
      <c r="X287" s="4"/>
    </row>
    <row r="288" spans="1:24" x14ac:dyDescent="0.25">
      <c r="A288" s="1" t="s">
        <v>305</v>
      </c>
      <c r="B288" s="4"/>
      <c r="C288" s="5" t="s">
        <v>400</v>
      </c>
      <c r="D288" s="12">
        <v>8</v>
      </c>
      <c r="E288" s="2" t="s">
        <v>321</v>
      </c>
      <c r="F288" s="4" t="s">
        <v>30</v>
      </c>
      <c r="G288" s="4" t="s">
        <v>35</v>
      </c>
      <c r="H288" s="7">
        <v>37891</v>
      </c>
      <c r="I288" s="21">
        <f t="shared" ca="1" si="22"/>
        <v>22</v>
      </c>
      <c r="J288" s="8">
        <v>0</v>
      </c>
      <c r="K288" s="8">
        <v>16500000</v>
      </c>
      <c r="L288" s="8">
        <v>40000</v>
      </c>
      <c r="M288" s="8">
        <f>(Table2[[#This Row],[Salary/
Week]]*52)</f>
        <v>2080000</v>
      </c>
      <c r="N288" s="9">
        <v>44199</v>
      </c>
      <c r="O288" s="10">
        <v>46934</v>
      </c>
      <c r="P288" s="4">
        <f t="shared" ca="1" si="23"/>
        <v>5</v>
      </c>
      <c r="Q288" s="4">
        <f t="shared" ca="1" si="24"/>
        <v>1</v>
      </c>
      <c r="R288" s="4">
        <f t="shared" ca="1" si="25"/>
        <v>21</v>
      </c>
      <c r="S288" s="4"/>
      <c r="T288" s="4"/>
      <c r="U288" s="4"/>
      <c r="V288" s="4" t="s">
        <v>396</v>
      </c>
      <c r="W288" s="2" t="s">
        <v>479</v>
      </c>
      <c r="X288" s="4"/>
    </row>
    <row r="289" spans="1:24" x14ac:dyDescent="0.25">
      <c r="A289" s="1" t="s">
        <v>305</v>
      </c>
      <c r="B289" s="4"/>
      <c r="C289" s="5" t="s">
        <v>401</v>
      </c>
      <c r="D289" s="12">
        <v>23</v>
      </c>
      <c r="E289" s="2" t="s">
        <v>548</v>
      </c>
      <c r="F289" s="4" t="s">
        <v>30</v>
      </c>
      <c r="G289" s="4" t="s">
        <v>30</v>
      </c>
      <c r="H289" s="7">
        <v>38090</v>
      </c>
      <c r="I289" s="21">
        <f ca="1">DATEDIF(H289,TODAY(),"Y")</f>
        <v>22</v>
      </c>
      <c r="J289" s="8">
        <v>9000000</v>
      </c>
      <c r="K289" s="8">
        <v>9000000</v>
      </c>
      <c r="L289" s="8">
        <v>80000</v>
      </c>
      <c r="M289" s="8">
        <f>(Table2[[#This Row],[Salary/
Week]]*52)</f>
        <v>4160000</v>
      </c>
      <c r="N289" s="9">
        <v>46236</v>
      </c>
      <c r="O289" s="10">
        <v>47664</v>
      </c>
      <c r="P289" s="4">
        <f ca="1">DATEDIF(N289,TODAY(),"Y")</f>
        <v>0</v>
      </c>
      <c r="Q289" s="4">
        <f ca="1">DATEDIF(TODAY(),O289,"y")</f>
        <v>3</v>
      </c>
      <c r="R289" s="4">
        <f ca="1">DATEDIF(TODAY(),O289,"m")</f>
        <v>45</v>
      </c>
      <c r="S289" s="4"/>
      <c r="T289" s="4"/>
      <c r="U289" s="4"/>
      <c r="V289" s="4" t="s">
        <v>396</v>
      </c>
      <c r="W289" s="2"/>
      <c r="X289" s="4"/>
    </row>
    <row r="290" spans="1:24" x14ac:dyDescent="0.25">
      <c r="A290" s="1" t="s">
        <v>305</v>
      </c>
      <c r="B290" s="4"/>
      <c r="C290" s="5" t="s">
        <v>400</v>
      </c>
      <c r="D290" s="12">
        <v>10</v>
      </c>
      <c r="E290" s="2" t="s">
        <v>60</v>
      </c>
      <c r="F290" s="4" t="s">
        <v>32</v>
      </c>
      <c r="G290" s="4" t="s">
        <v>33</v>
      </c>
      <c r="H290" s="7">
        <v>35510</v>
      </c>
      <c r="I290" s="21">
        <f ca="1">DATEDIF(H290,TODAY(),"Y")</f>
        <v>29</v>
      </c>
      <c r="J290" s="8">
        <v>30000000</v>
      </c>
      <c r="K290" s="8">
        <v>30000000</v>
      </c>
      <c r="L290" s="8">
        <v>75000</v>
      </c>
      <c r="M290" s="8">
        <f>(Table2[[#This Row],[Salary/
Week]]*52)</f>
        <v>3900000</v>
      </c>
      <c r="N290" s="10">
        <v>46231</v>
      </c>
      <c r="O290" s="10">
        <v>48395</v>
      </c>
      <c r="P290" s="4">
        <f ca="1">DATEDIF(N290,TODAY(),"Y")</f>
        <v>0</v>
      </c>
      <c r="Q290" s="4">
        <f ca="1">DATEDIF(TODAY(),O290,"y")</f>
        <v>5</v>
      </c>
      <c r="R290" s="4">
        <f ca="1">DATEDIF(TODAY(),O290,"m")</f>
        <v>69</v>
      </c>
      <c r="S290" s="4"/>
      <c r="T290" s="4"/>
      <c r="U290" s="4"/>
      <c r="V290" s="4" t="s">
        <v>397</v>
      </c>
      <c r="W290" s="2"/>
      <c r="X290" s="4"/>
    </row>
    <row r="291" spans="1:24" x14ac:dyDescent="0.25">
      <c r="A291" s="1" t="s">
        <v>305</v>
      </c>
      <c r="B291" s="4"/>
      <c r="C291" s="5" t="s">
        <v>401</v>
      </c>
      <c r="D291" s="12">
        <v>11</v>
      </c>
      <c r="E291" s="2" t="s">
        <v>323</v>
      </c>
      <c r="F291" s="4" t="s">
        <v>32</v>
      </c>
      <c r="G291" s="4" t="s">
        <v>32</v>
      </c>
      <c r="H291" s="7">
        <v>36176</v>
      </c>
      <c r="I291" s="21">
        <f t="shared" ca="1" si="22"/>
        <v>27</v>
      </c>
      <c r="J291" s="8">
        <v>0</v>
      </c>
      <c r="K291" s="8">
        <v>677000</v>
      </c>
      <c r="L291" s="8">
        <v>41200</v>
      </c>
      <c r="M291" s="8">
        <f>(Table2[[#This Row],[Salary/
Week]]*52)</f>
        <v>2142400</v>
      </c>
      <c r="N291" s="9">
        <v>44768</v>
      </c>
      <c r="O291" s="10">
        <v>47664</v>
      </c>
      <c r="P291" s="4">
        <f t="shared" ca="1" si="23"/>
        <v>4</v>
      </c>
      <c r="Q291" s="4">
        <f t="shared" ca="1" si="24"/>
        <v>3</v>
      </c>
      <c r="R291" s="4">
        <f t="shared" ca="1" si="25"/>
        <v>45</v>
      </c>
      <c r="S291" s="4"/>
      <c r="T291" s="4"/>
      <c r="U291" s="4"/>
      <c r="V291" s="4" t="s">
        <v>397</v>
      </c>
      <c r="W291" s="2"/>
      <c r="X291" s="4"/>
    </row>
    <row r="292" spans="1:24" x14ac:dyDescent="0.25">
      <c r="A292" s="1" t="s">
        <v>305</v>
      </c>
      <c r="B292" s="4"/>
      <c r="C292" s="5" t="s">
        <v>400</v>
      </c>
      <c r="D292" s="12">
        <v>7</v>
      </c>
      <c r="E292" s="2" t="s">
        <v>442</v>
      </c>
      <c r="F292" s="4" t="s">
        <v>31</v>
      </c>
      <c r="G292" s="4" t="s">
        <v>35</v>
      </c>
      <c r="H292" s="7">
        <v>37477</v>
      </c>
      <c r="I292" s="21">
        <f ca="1">DATEDIF(H292,TODAY(),"Y")</f>
        <v>24</v>
      </c>
      <c r="J292" s="8">
        <v>45000000</v>
      </c>
      <c r="K292" s="8">
        <v>35000000</v>
      </c>
      <c r="L292" s="8">
        <v>129000</v>
      </c>
      <c r="M292" s="8">
        <f>(Table2[[#This Row],[Salary/
Week]]*52)</f>
        <v>6708000</v>
      </c>
      <c r="N292" s="9">
        <v>46253</v>
      </c>
      <c r="O292" s="10">
        <v>48395</v>
      </c>
      <c r="P292" s="4">
        <f ca="1">DATEDIF(N292,TODAY(),"Y")</f>
        <v>0</v>
      </c>
      <c r="Q292" s="4">
        <f ca="1">DATEDIF(TODAY(),O292,"y")</f>
        <v>5</v>
      </c>
      <c r="R292" s="4">
        <f t="shared" ca="1" si="25"/>
        <v>69</v>
      </c>
      <c r="S292" s="4"/>
      <c r="T292" s="4"/>
      <c r="U292" s="4"/>
      <c r="V292" s="4" t="s">
        <v>396</v>
      </c>
      <c r="W292" s="2"/>
      <c r="X292" s="4"/>
    </row>
    <row r="293" spans="1:24" x14ac:dyDescent="0.25">
      <c r="A293" s="1" t="s">
        <v>305</v>
      </c>
      <c r="B293" s="4"/>
      <c r="C293" s="5" t="s">
        <v>401</v>
      </c>
      <c r="D293" s="12">
        <v>9</v>
      </c>
      <c r="E293" s="2" t="s">
        <v>324</v>
      </c>
      <c r="F293" s="4" t="s">
        <v>31</v>
      </c>
      <c r="G293" s="4" t="s">
        <v>31</v>
      </c>
      <c r="H293" s="7">
        <v>37629</v>
      </c>
      <c r="I293" s="21">
        <f t="shared" ca="1" si="22"/>
        <v>23</v>
      </c>
      <c r="J293" s="8">
        <v>0</v>
      </c>
      <c r="K293" s="8">
        <v>0</v>
      </c>
      <c r="L293" s="8">
        <v>55000</v>
      </c>
      <c r="M293" s="8">
        <f>(Table2[[#This Row],[Salary/
Week]]*52)</f>
        <v>2860000</v>
      </c>
      <c r="N293" s="9">
        <v>45878</v>
      </c>
      <c r="O293" s="10">
        <v>47664</v>
      </c>
      <c r="P293" s="4">
        <f t="shared" ca="1" si="23"/>
        <v>1</v>
      </c>
      <c r="Q293" s="4">
        <f t="shared" ca="1" si="24"/>
        <v>3</v>
      </c>
      <c r="R293" s="4">
        <f t="shared" ca="1" si="25"/>
        <v>45</v>
      </c>
      <c r="S293" s="4"/>
      <c r="T293" s="4"/>
      <c r="U293" s="4"/>
      <c r="V293" s="4" t="s">
        <v>397</v>
      </c>
      <c r="W293" s="2"/>
      <c r="X293" s="4"/>
    </row>
    <row r="294" spans="1:24" x14ac:dyDescent="0.25">
      <c r="A294" s="1" t="s">
        <v>305</v>
      </c>
      <c r="B294" s="4"/>
      <c r="C294" s="5" t="s">
        <v>401</v>
      </c>
      <c r="D294" s="12">
        <v>19</v>
      </c>
      <c r="E294" s="2" t="s">
        <v>325</v>
      </c>
      <c r="F294" s="4" t="s">
        <v>31</v>
      </c>
      <c r="G294" s="4" t="s">
        <v>31</v>
      </c>
      <c r="H294" s="7">
        <v>39105</v>
      </c>
      <c r="I294" s="21">
        <f t="shared" ca="1" si="22"/>
        <v>19</v>
      </c>
      <c r="J294" s="8">
        <v>0</v>
      </c>
      <c r="K294" s="8">
        <v>0</v>
      </c>
      <c r="L294" s="8">
        <v>19000</v>
      </c>
      <c r="M294" s="8">
        <f>(Table2[[#This Row],[Salary/
Week]]*52)</f>
        <v>988000</v>
      </c>
      <c r="N294" s="9">
        <v>45465</v>
      </c>
      <c r="O294" s="10">
        <v>46568</v>
      </c>
      <c r="P294" s="4">
        <f t="shared" ca="1" si="23"/>
        <v>2</v>
      </c>
      <c r="Q294" s="4">
        <f t="shared" ca="1" si="24"/>
        <v>0</v>
      </c>
      <c r="R294" s="4">
        <f t="shared" ca="1" si="25"/>
        <v>9</v>
      </c>
      <c r="S294" s="4"/>
      <c r="T294" s="4"/>
      <c r="U294" s="4"/>
      <c r="V294" s="4" t="s">
        <v>397</v>
      </c>
      <c r="W294" s="2"/>
      <c r="X294" s="4"/>
    </row>
    <row r="295" spans="1:24" x14ac:dyDescent="0.25">
      <c r="A295" s="1" t="s">
        <v>305</v>
      </c>
      <c r="B295" s="4"/>
      <c r="C295" s="5" t="s">
        <v>400</v>
      </c>
      <c r="D295" s="12">
        <v>7</v>
      </c>
      <c r="E295" s="2" t="s">
        <v>326</v>
      </c>
      <c r="F295" s="4" t="s">
        <v>35</v>
      </c>
      <c r="G295" s="4" t="s">
        <v>35</v>
      </c>
      <c r="H295" s="7">
        <v>36201</v>
      </c>
      <c r="I295" s="21">
        <f t="shared" ca="1" si="22"/>
        <v>27</v>
      </c>
      <c r="J295" s="8">
        <v>12000000</v>
      </c>
      <c r="K295" s="8">
        <v>29750000</v>
      </c>
      <c r="L295" s="8">
        <v>12000</v>
      </c>
      <c r="M295" s="8">
        <f>(Table2[[#This Row],[Salary/
Week]]*52)</f>
        <v>624000</v>
      </c>
      <c r="N295" s="9">
        <v>44933</v>
      </c>
      <c r="O295" s="10">
        <v>47299</v>
      </c>
      <c r="P295" s="4">
        <f t="shared" ca="1" si="23"/>
        <v>3</v>
      </c>
      <c r="Q295" s="4">
        <f t="shared" ca="1" si="24"/>
        <v>2</v>
      </c>
      <c r="R295" s="4">
        <f t="shared" ca="1" si="25"/>
        <v>33</v>
      </c>
      <c r="S295" s="4"/>
      <c r="T295" s="4"/>
      <c r="U295" s="4"/>
      <c r="V295" s="4" t="s">
        <v>396</v>
      </c>
      <c r="W295" s="2"/>
      <c r="X295" s="4"/>
    </row>
    <row r="296" spans="1:24" x14ac:dyDescent="0.25">
      <c r="A296" s="1" t="s">
        <v>327</v>
      </c>
      <c r="B296" s="4"/>
      <c r="C296" s="5" t="s">
        <v>400</v>
      </c>
      <c r="D296" s="12">
        <v>1</v>
      </c>
      <c r="E296" s="2" t="s">
        <v>328</v>
      </c>
      <c r="F296" s="4" t="s">
        <v>23</v>
      </c>
      <c r="G296" s="4" t="s">
        <v>23</v>
      </c>
      <c r="H296" s="7">
        <v>36006</v>
      </c>
      <c r="I296" s="21">
        <f t="shared" ca="1" si="22"/>
        <v>28</v>
      </c>
      <c r="J296" s="8">
        <v>0</v>
      </c>
      <c r="K296" s="8">
        <v>6000000</v>
      </c>
      <c r="L296" s="8">
        <v>40000</v>
      </c>
      <c r="M296" s="8">
        <f>(Table2[[#This Row],[Salary/
Week]]*52)</f>
        <v>2080000</v>
      </c>
      <c r="N296" s="9">
        <v>45306</v>
      </c>
      <c r="O296" s="10">
        <v>46568</v>
      </c>
      <c r="P296" s="4">
        <f t="shared" ca="1" si="23"/>
        <v>2</v>
      </c>
      <c r="Q296" s="4">
        <f t="shared" ca="1" si="24"/>
        <v>0</v>
      </c>
      <c r="R296" s="4">
        <f t="shared" ca="1" si="25"/>
        <v>9</v>
      </c>
      <c r="S296" s="4"/>
      <c r="T296" s="4"/>
      <c r="U296" s="4"/>
      <c r="V296" s="4" t="s">
        <v>398</v>
      </c>
      <c r="W296" s="2"/>
      <c r="X296" s="4"/>
    </row>
    <row r="297" spans="1:24" x14ac:dyDescent="0.25">
      <c r="A297" s="1" t="s">
        <v>327</v>
      </c>
      <c r="B297" s="4"/>
      <c r="C297" s="5" t="s">
        <v>401</v>
      </c>
      <c r="D297" s="12">
        <v>19</v>
      </c>
      <c r="E297" s="2" t="s">
        <v>329</v>
      </c>
      <c r="F297" s="4" t="s">
        <v>23</v>
      </c>
      <c r="G297" s="4" t="s">
        <v>23</v>
      </c>
      <c r="H297" s="7">
        <v>37189</v>
      </c>
      <c r="I297" s="21">
        <f t="shared" ca="1" si="22"/>
        <v>24</v>
      </c>
      <c r="J297" s="8">
        <v>0</v>
      </c>
      <c r="K297" s="8">
        <v>3000000</v>
      </c>
      <c r="L297" s="8">
        <v>40000</v>
      </c>
      <c r="M297" s="8">
        <f>(Table2[[#This Row],[Salary/
Week]]*52)</f>
        <v>2080000</v>
      </c>
      <c r="N297" s="9">
        <v>45167</v>
      </c>
      <c r="O297" s="10">
        <v>46203</v>
      </c>
      <c r="P297" s="4">
        <f t="shared" ca="1" si="23"/>
        <v>3</v>
      </c>
      <c r="Q297" s="4" t="e">
        <f t="shared" ca="1" si="24"/>
        <v>#NUM!</v>
      </c>
      <c r="R297" s="4" t="e">
        <f t="shared" ca="1" si="25"/>
        <v>#NUM!</v>
      </c>
      <c r="S297" s="4"/>
      <c r="T297" s="4"/>
      <c r="U297" s="4"/>
      <c r="V297" s="4" t="s">
        <v>398</v>
      </c>
      <c r="W297" s="2"/>
      <c r="X297" s="4"/>
    </row>
    <row r="298" spans="1:24" x14ac:dyDescent="0.25">
      <c r="A298" s="1" t="s">
        <v>327</v>
      </c>
      <c r="B298" s="4" t="s">
        <v>47</v>
      </c>
      <c r="C298" s="5" t="s">
        <v>400</v>
      </c>
      <c r="D298" s="12">
        <v>2</v>
      </c>
      <c r="E298" s="2" t="s">
        <v>330</v>
      </c>
      <c r="F298" s="4" t="s">
        <v>25</v>
      </c>
      <c r="G298" s="4" t="s">
        <v>25</v>
      </c>
      <c r="H298" s="7">
        <v>35305</v>
      </c>
      <c r="I298" s="21">
        <f t="shared" ca="1" si="22"/>
        <v>30</v>
      </c>
      <c r="J298" s="8">
        <v>3000000</v>
      </c>
      <c r="K298" s="8">
        <v>200000</v>
      </c>
      <c r="L298" s="8">
        <v>50000</v>
      </c>
      <c r="M298" s="8">
        <f>(Table2[[#This Row],[Salary/
Week]]*52)</f>
        <v>2600000</v>
      </c>
      <c r="N298" s="9">
        <v>45489</v>
      </c>
      <c r="O298" s="10">
        <v>46568</v>
      </c>
      <c r="P298" s="4">
        <f t="shared" ca="1" si="23"/>
        <v>2</v>
      </c>
      <c r="Q298" s="4">
        <f t="shared" ca="1" si="24"/>
        <v>0</v>
      </c>
      <c r="R298" s="4">
        <f t="shared" ca="1" si="25"/>
        <v>9</v>
      </c>
      <c r="S298" s="4"/>
      <c r="T298" s="4"/>
      <c r="U298" s="4"/>
      <c r="V298" s="4" t="s">
        <v>396</v>
      </c>
      <c r="W298" s="2"/>
      <c r="X298" s="4"/>
    </row>
    <row r="299" spans="1:24" x14ac:dyDescent="0.25">
      <c r="A299" s="1" t="s">
        <v>327</v>
      </c>
      <c r="B299" s="4"/>
      <c r="C299" s="5" t="s">
        <v>401</v>
      </c>
      <c r="D299" s="12">
        <v>52</v>
      </c>
      <c r="E299" s="2" t="s">
        <v>331</v>
      </c>
      <c r="F299" s="4" t="s">
        <v>25</v>
      </c>
      <c r="G299" s="4" t="s">
        <v>25</v>
      </c>
      <c r="H299" s="7">
        <v>37935</v>
      </c>
      <c r="I299" s="21">
        <f t="shared" ca="1" si="22"/>
        <v>22</v>
      </c>
      <c r="J299" s="8">
        <v>0</v>
      </c>
      <c r="K299" s="8">
        <v>565000</v>
      </c>
      <c r="L299" s="8">
        <v>40000</v>
      </c>
      <c r="M299" s="8">
        <f>(Table2[[#This Row],[Salary/
Week]]*52)</f>
        <v>2080000</v>
      </c>
      <c r="N299" s="9">
        <v>44945</v>
      </c>
      <c r="O299" s="10">
        <v>46934</v>
      </c>
      <c r="P299" s="4">
        <f t="shared" ca="1" si="23"/>
        <v>3</v>
      </c>
      <c r="Q299" s="4">
        <f t="shared" ca="1" si="24"/>
        <v>1</v>
      </c>
      <c r="R299" s="4">
        <f t="shared" ca="1" si="25"/>
        <v>21</v>
      </c>
      <c r="S299" s="4"/>
      <c r="T299" s="4"/>
      <c r="U299" s="4"/>
      <c r="V299" s="4" t="s">
        <v>396</v>
      </c>
      <c r="W299" s="2"/>
      <c r="X299" s="4"/>
    </row>
    <row r="300" spans="1:24" x14ac:dyDescent="0.25">
      <c r="A300" s="1" t="s">
        <v>327</v>
      </c>
      <c r="B300" s="4"/>
      <c r="C300" s="5" t="s">
        <v>400</v>
      </c>
      <c r="D300" s="12">
        <v>3</v>
      </c>
      <c r="E300" s="2" t="s">
        <v>332</v>
      </c>
      <c r="F300" s="4" t="s">
        <v>26</v>
      </c>
      <c r="G300" s="4" t="s">
        <v>26</v>
      </c>
      <c r="H300" s="7">
        <v>35906</v>
      </c>
      <c r="I300" s="21">
        <f t="shared" ca="1" si="22"/>
        <v>28</v>
      </c>
      <c r="J300" s="8">
        <v>1000000</v>
      </c>
      <c r="K300" s="8">
        <v>1000000</v>
      </c>
      <c r="L300" s="8">
        <v>50000</v>
      </c>
      <c r="M300" s="8">
        <f>(Table2[[#This Row],[Salary/
Week]]*52)</f>
        <v>2600000</v>
      </c>
      <c r="N300" s="9">
        <v>44931</v>
      </c>
      <c r="O300" s="10">
        <v>46934</v>
      </c>
      <c r="P300" s="4">
        <f t="shared" ca="1" si="23"/>
        <v>3</v>
      </c>
      <c r="Q300" s="4">
        <f t="shared" ca="1" si="24"/>
        <v>1</v>
      </c>
      <c r="R300" s="4">
        <f t="shared" ca="1" si="25"/>
        <v>21</v>
      </c>
      <c r="S300" s="4"/>
      <c r="T300" s="4"/>
      <c r="U300" s="4"/>
      <c r="V300" s="4" t="s">
        <v>397</v>
      </c>
      <c r="W300" s="2"/>
      <c r="X300" s="4"/>
    </row>
    <row r="301" spans="1:24" x14ac:dyDescent="0.25">
      <c r="A301" s="1" t="s">
        <v>327</v>
      </c>
      <c r="B301" s="4"/>
      <c r="C301" s="5" t="s">
        <v>401</v>
      </c>
      <c r="D301" s="12">
        <v>14</v>
      </c>
      <c r="E301" s="2" t="s">
        <v>333</v>
      </c>
      <c r="F301" s="4" t="s">
        <v>26</v>
      </c>
      <c r="G301" s="4" t="s">
        <v>26</v>
      </c>
      <c r="H301" s="7">
        <v>36516</v>
      </c>
      <c r="I301" s="21">
        <f t="shared" ca="1" si="22"/>
        <v>26</v>
      </c>
      <c r="J301" s="8">
        <v>0</v>
      </c>
      <c r="K301" s="8">
        <v>445000</v>
      </c>
      <c r="L301" s="8">
        <v>70000</v>
      </c>
      <c r="M301" s="8">
        <f>(Table2[[#This Row],[Salary/
Week]]*52)</f>
        <v>3640000</v>
      </c>
      <c r="N301" s="9">
        <v>45296</v>
      </c>
      <c r="O301" s="10">
        <v>46934</v>
      </c>
      <c r="P301" s="4">
        <f t="shared" ca="1" si="23"/>
        <v>2</v>
      </c>
      <c r="Q301" s="4">
        <f t="shared" ca="1" si="24"/>
        <v>1</v>
      </c>
      <c r="R301" s="4">
        <f t="shared" ca="1" si="25"/>
        <v>21</v>
      </c>
      <c r="S301" s="4"/>
      <c r="T301" s="4"/>
      <c r="U301" s="4"/>
      <c r="V301" s="4" t="s">
        <v>397</v>
      </c>
      <c r="W301" s="2"/>
      <c r="X301" s="4"/>
    </row>
    <row r="302" spans="1:24" x14ac:dyDescent="0.25">
      <c r="A302" s="1" t="s">
        <v>327</v>
      </c>
      <c r="B302" s="4"/>
      <c r="C302" s="5" t="s">
        <v>400</v>
      </c>
      <c r="D302" s="12">
        <v>21</v>
      </c>
      <c r="E302" s="2" t="s">
        <v>334</v>
      </c>
      <c r="F302" s="4" t="s">
        <v>26</v>
      </c>
      <c r="G302" s="4" t="s">
        <v>26</v>
      </c>
      <c r="H302" s="7">
        <v>37920</v>
      </c>
      <c r="I302" s="21">
        <f t="shared" ca="1" si="22"/>
        <v>22</v>
      </c>
      <c r="J302" s="8">
        <v>18000000</v>
      </c>
      <c r="K302" s="8">
        <v>35000000</v>
      </c>
      <c r="L302" s="8">
        <v>100000</v>
      </c>
      <c r="M302" s="8">
        <f>(Table2[[#This Row],[Salary/
Week]]*52)</f>
        <v>5200000</v>
      </c>
      <c r="N302" s="9">
        <v>45160</v>
      </c>
      <c r="O302" s="10">
        <v>46568</v>
      </c>
      <c r="P302" s="4">
        <f t="shared" ca="1" si="23"/>
        <v>3</v>
      </c>
      <c r="Q302" s="4">
        <f t="shared" ca="1" si="24"/>
        <v>0</v>
      </c>
      <c r="R302" s="4">
        <f t="shared" ca="1" si="25"/>
        <v>9</v>
      </c>
      <c r="S302" s="4"/>
      <c r="T302" s="4"/>
      <c r="U302" s="4"/>
      <c r="V302" s="4" t="s">
        <v>397</v>
      </c>
      <c r="W302" s="2"/>
      <c r="X302" s="4"/>
    </row>
    <row r="303" spans="1:24" x14ac:dyDescent="0.25">
      <c r="A303" s="1" t="s">
        <v>327</v>
      </c>
      <c r="B303" s="4" t="s">
        <v>57</v>
      </c>
      <c r="C303" s="5" t="s">
        <v>400</v>
      </c>
      <c r="D303" s="12">
        <v>17</v>
      </c>
      <c r="E303" s="2" t="s">
        <v>335</v>
      </c>
      <c r="F303" s="4" t="s">
        <v>27</v>
      </c>
      <c r="G303" s="4" t="s">
        <v>27</v>
      </c>
      <c r="H303" s="7">
        <v>33006</v>
      </c>
      <c r="I303" s="21">
        <f t="shared" ca="1" si="22"/>
        <v>36</v>
      </c>
      <c r="J303" s="8">
        <v>0</v>
      </c>
      <c r="K303" s="8">
        <v>0</v>
      </c>
      <c r="L303" s="8">
        <v>100000</v>
      </c>
      <c r="M303" s="8">
        <f>(Table2[[#This Row],[Salary/
Week]]*52)</f>
        <v>5200000</v>
      </c>
      <c r="N303" s="9">
        <v>45462</v>
      </c>
      <c r="O303" s="10">
        <v>47664</v>
      </c>
      <c r="P303" s="4">
        <f t="shared" ca="1" si="23"/>
        <v>2</v>
      </c>
      <c r="Q303" s="4">
        <f t="shared" ca="1" si="24"/>
        <v>3</v>
      </c>
      <c r="R303" s="4">
        <f t="shared" ca="1" si="25"/>
        <v>45</v>
      </c>
      <c r="S303" s="4"/>
      <c r="T303" s="4"/>
      <c r="U303" s="4"/>
      <c r="V303" s="4" t="s">
        <v>397</v>
      </c>
      <c r="W303" s="2"/>
      <c r="X303" s="4"/>
    </row>
    <row r="304" spans="1:24" x14ac:dyDescent="0.25">
      <c r="A304" s="1" t="s">
        <v>327</v>
      </c>
      <c r="B304" s="4"/>
      <c r="C304" s="5" t="s">
        <v>401</v>
      </c>
      <c r="D304" s="12">
        <v>5</v>
      </c>
      <c r="E304" s="2" t="s">
        <v>336</v>
      </c>
      <c r="F304" s="4" t="s">
        <v>27</v>
      </c>
      <c r="G304" s="4" t="s">
        <v>27</v>
      </c>
      <c r="H304" s="7">
        <v>35956</v>
      </c>
      <c r="I304" s="21">
        <f t="shared" ca="1" si="22"/>
        <v>28</v>
      </c>
      <c r="J304" s="8">
        <v>0</v>
      </c>
      <c r="K304" s="8">
        <v>0</v>
      </c>
      <c r="L304" s="8">
        <v>33000</v>
      </c>
      <c r="M304" s="8">
        <f>(Table2[[#This Row],[Salary/
Week]]*52)</f>
        <v>1716000</v>
      </c>
      <c r="N304" s="9">
        <v>45878</v>
      </c>
      <c r="O304" s="10">
        <v>46568</v>
      </c>
      <c r="P304" s="4">
        <f t="shared" ca="1" si="23"/>
        <v>1</v>
      </c>
      <c r="Q304" s="4">
        <f t="shared" ca="1" si="24"/>
        <v>0</v>
      </c>
      <c r="R304" s="4">
        <f t="shared" ca="1" si="25"/>
        <v>9</v>
      </c>
      <c r="S304" s="4"/>
      <c r="T304" s="4"/>
      <c r="U304" s="4"/>
      <c r="V304" s="4" t="s">
        <v>397</v>
      </c>
      <c r="W304" s="2"/>
      <c r="X304" s="4"/>
    </row>
    <row r="305" spans="1:24" x14ac:dyDescent="0.25">
      <c r="A305" s="1" t="s">
        <v>327</v>
      </c>
      <c r="B305" s="4"/>
      <c r="C305" s="5" t="s">
        <v>400</v>
      </c>
      <c r="D305" s="12">
        <v>31</v>
      </c>
      <c r="E305" s="2" t="s">
        <v>337</v>
      </c>
      <c r="F305" s="4" t="s">
        <v>28</v>
      </c>
      <c r="G305" s="4" t="s">
        <v>28</v>
      </c>
      <c r="H305" s="7">
        <v>34671</v>
      </c>
      <c r="I305" s="21">
        <f t="shared" ca="1" si="22"/>
        <v>31</v>
      </c>
      <c r="J305" s="8">
        <v>2000000</v>
      </c>
      <c r="K305" s="8">
        <v>0</v>
      </c>
      <c r="L305" s="8">
        <v>120000</v>
      </c>
      <c r="M305" s="8">
        <f>(Table2[[#This Row],[Salary/
Week]]*52)</f>
        <v>6240000</v>
      </c>
      <c r="N305" s="9">
        <v>45114</v>
      </c>
      <c r="O305" s="10">
        <v>47664</v>
      </c>
      <c r="P305" s="4">
        <f t="shared" ca="1" si="23"/>
        <v>3</v>
      </c>
      <c r="Q305" s="4">
        <f t="shared" ca="1" si="24"/>
        <v>3</v>
      </c>
      <c r="R305" s="4">
        <f t="shared" ca="1" si="25"/>
        <v>45</v>
      </c>
      <c r="S305" s="4"/>
      <c r="T305" s="4"/>
      <c r="U305" s="4"/>
      <c r="V305" s="4" t="s">
        <v>397</v>
      </c>
      <c r="W305" s="2"/>
      <c r="X305" s="4"/>
    </row>
    <row r="306" spans="1:24" x14ac:dyDescent="0.25">
      <c r="A306" s="1" t="s">
        <v>327</v>
      </c>
      <c r="B306" s="4"/>
      <c r="C306" s="5" t="s">
        <v>401</v>
      </c>
      <c r="D306" s="12">
        <v>44</v>
      </c>
      <c r="E306" s="2" t="s">
        <v>338</v>
      </c>
      <c r="F306" s="4" t="s">
        <v>28</v>
      </c>
      <c r="G306" s="4" t="s">
        <v>28</v>
      </c>
      <c r="H306" s="7">
        <v>36556</v>
      </c>
      <c r="I306" s="21">
        <f t="shared" ca="1" si="22"/>
        <v>26</v>
      </c>
      <c r="J306" s="8">
        <v>80000</v>
      </c>
      <c r="K306" s="8">
        <v>0</v>
      </c>
      <c r="L306" s="8">
        <v>29000</v>
      </c>
      <c r="M306" s="8">
        <f>(Table2[[#This Row],[Salary/
Week]]*52)</f>
        <v>1508000</v>
      </c>
      <c r="N306" s="9">
        <v>45878</v>
      </c>
      <c r="O306" s="10">
        <v>46934</v>
      </c>
      <c r="P306" s="4">
        <f t="shared" ca="1" si="23"/>
        <v>1</v>
      </c>
      <c r="Q306" s="4">
        <f t="shared" ca="1" si="24"/>
        <v>1</v>
      </c>
      <c r="R306" s="4">
        <f t="shared" ca="1" si="25"/>
        <v>21</v>
      </c>
      <c r="S306" s="4"/>
      <c r="T306" s="4"/>
      <c r="U306" s="4"/>
      <c r="V306" s="4" t="s">
        <v>397</v>
      </c>
      <c r="W306" s="2"/>
      <c r="X306" s="4"/>
    </row>
    <row r="307" spans="1:24" x14ac:dyDescent="0.25">
      <c r="A307" s="1" t="s">
        <v>327</v>
      </c>
      <c r="B307" s="4"/>
      <c r="C307" s="5" t="s">
        <v>401</v>
      </c>
      <c r="D307" s="12">
        <v>6</v>
      </c>
      <c r="E307" s="2" t="s">
        <v>339</v>
      </c>
      <c r="F307" s="4" t="s">
        <v>29</v>
      </c>
      <c r="G307" s="4" t="s">
        <v>29</v>
      </c>
      <c r="H307" s="7">
        <v>35144</v>
      </c>
      <c r="I307" s="21">
        <f t="shared" ca="1" si="22"/>
        <v>30</v>
      </c>
      <c r="J307" s="8">
        <v>34000000</v>
      </c>
      <c r="K307" s="8">
        <v>0</v>
      </c>
      <c r="L307" s="8">
        <v>100000</v>
      </c>
      <c r="M307" s="8">
        <f>(Table2[[#This Row],[Salary/
Week]]*52)</f>
        <v>5200000</v>
      </c>
      <c r="N307" s="9">
        <v>45168</v>
      </c>
      <c r="O307" s="10">
        <v>47664</v>
      </c>
      <c r="P307" s="4">
        <f t="shared" ca="1" si="23"/>
        <v>3</v>
      </c>
      <c r="Q307" s="4">
        <f t="shared" ca="1" si="24"/>
        <v>3</v>
      </c>
      <c r="R307" s="4">
        <f t="shared" ca="1" si="25"/>
        <v>45</v>
      </c>
      <c r="S307" s="4"/>
      <c r="T307" s="4"/>
      <c r="U307" s="4"/>
      <c r="V307" s="4" t="s">
        <v>397</v>
      </c>
      <c r="W307" s="2"/>
      <c r="X307" s="4"/>
    </row>
    <row r="308" spans="1:24" x14ac:dyDescent="0.25">
      <c r="A308" s="1" t="s">
        <v>327</v>
      </c>
      <c r="B308" s="4"/>
      <c r="C308" s="5" t="s">
        <v>401</v>
      </c>
      <c r="D308" s="12">
        <v>5</v>
      </c>
      <c r="E308" s="2" t="s">
        <v>340</v>
      </c>
      <c r="F308" s="4" t="s">
        <v>29</v>
      </c>
      <c r="G308" s="4" t="s">
        <v>29</v>
      </c>
      <c r="H308" s="7">
        <v>37051</v>
      </c>
      <c r="I308" s="21">
        <f t="shared" ca="1" si="22"/>
        <v>25</v>
      </c>
      <c r="J308" s="8">
        <v>450000</v>
      </c>
      <c r="K308" s="8">
        <v>9000000</v>
      </c>
      <c r="L308" s="8">
        <v>50000</v>
      </c>
      <c r="M308" s="8">
        <f>(Table2[[#This Row],[Salary/
Week]]*52)</f>
        <v>2600000</v>
      </c>
      <c r="N308" s="9">
        <v>45090</v>
      </c>
      <c r="O308" s="10">
        <v>47664</v>
      </c>
      <c r="P308" s="4">
        <f t="shared" ca="1" si="23"/>
        <v>3</v>
      </c>
      <c r="Q308" s="4">
        <f t="shared" ca="1" si="24"/>
        <v>3</v>
      </c>
      <c r="R308" s="4">
        <f t="shared" ca="1" si="25"/>
        <v>45</v>
      </c>
      <c r="S308" s="4"/>
      <c r="T308" s="4"/>
      <c r="U308" s="4"/>
      <c r="V308" s="4" t="s">
        <v>397</v>
      </c>
      <c r="W308" s="2"/>
      <c r="X308" s="4"/>
    </row>
    <row r="309" spans="1:24" x14ac:dyDescent="0.25">
      <c r="A309" s="1" t="s">
        <v>327</v>
      </c>
      <c r="B309" s="4"/>
      <c r="C309" s="5" t="s">
        <v>401</v>
      </c>
      <c r="D309" s="12">
        <v>15</v>
      </c>
      <c r="E309" s="2" t="s">
        <v>341</v>
      </c>
      <c r="F309" s="4" t="s">
        <v>29</v>
      </c>
      <c r="G309" s="4" t="s">
        <v>29</v>
      </c>
      <c r="H309" s="7">
        <v>37396</v>
      </c>
      <c r="I309" s="21">
        <f t="shared" ca="1" si="22"/>
        <v>24</v>
      </c>
      <c r="J309" s="8">
        <v>180000</v>
      </c>
      <c r="K309" s="8">
        <v>600000</v>
      </c>
      <c r="L309" s="8">
        <v>84000</v>
      </c>
      <c r="M309" s="8">
        <f>(Table2[[#This Row],[Salary/
Week]]*52)</f>
        <v>4368000</v>
      </c>
      <c r="N309" s="9">
        <v>45454</v>
      </c>
      <c r="O309" s="10">
        <v>47299</v>
      </c>
      <c r="P309" s="4">
        <f t="shared" ca="1" si="23"/>
        <v>2</v>
      </c>
      <c r="Q309" s="4">
        <f t="shared" ca="1" si="24"/>
        <v>2</v>
      </c>
      <c r="R309" s="4">
        <f t="shared" ca="1" si="25"/>
        <v>33</v>
      </c>
      <c r="S309" s="4"/>
      <c r="T309" s="4"/>
      <c r="U309" s="4"/>
      <c r="V309" s="4" t="s">
        <v>397</v>
      </c>
      <c r="W309" s="2"/>
      <c r="X309" s="4"/>
    </row>
    <row r="310" spans="1:24" x14ac:dyDescent="0.25">
      <c r="A310" s="1" t="s">
        <v>327</v>
      </c>
      <c r="B310" s="4"/>
      <c r="C310" s="5" t="s">
        <v>400</v>
      </c>
      <c r="D310" s="12">
        <v>10</v>
      </c>
      <c r="E310" s="2" t="s">
        <v>342</v>
      </c>
      <c r="F310" s="4" t="s">
        <v>30</v>
      </c>
      <c r="G310" s="4" t="s">
        <v>30</v>
      </c>
      <c r="H310" s="7">
        <v>38563</v>
      </c>
      <c r="I310" s="21">
        <f t="shared" ca="1" si="22"/>
        <v>21</v>
      </c>
      <c r="J310" s="8">
        <v>0</v>
      </c>
      <c r="K310" s="8">
        <v>7500000</v>
      </c>
      <c r="L310" s="8">
        <v>43000</v>
      </c>
      <c r="M310" s="8">
        <f>(Table2[[#This Row],[Salary/
Week]]*52)</f>
        <v>2236000</v>
      </c>
      <c r="N310" s="9">
        <v>44927</v>
      </c>
      <c r="O310" s="10">
        <v>46934</v>
      </c>
      <c r="P310" s="4">
        <f t="shared" ca="1" si="23"/>
        <v>3</v>
      </c>
      <c r="Q310" s="4">
        <f t="shared" ca="1" si="24"/>
        <v>1</v>
      </c>
      <c r="R310" s="4">
        <f t="shared" ca="1" si="25"/>
        <v>21</v>
      </c>
      <c r="S310" s="4"/>
      <c r="T310" s="4"/>
      <c r="U310" s="4"/>
      <c r="V310" s="4" t="s">
        <v>397</v>
      </c>
      <c r="W310" s="2"/>
      <c r="X310" s="4"/>
    </row>
    <row r="311" spans="1:24" x14ac:dyDescent="0.25">
      <c r="A311" s="1" t="s">
        <v>327</v>
      </c>
      <c r="B311" s="4"/>
      <c r="C311" s="5" t="s">
        <v>400</v>
      </c>
      <c r="D311" s="12">
        <v>27</v>
      </c>
      <c r="E311" s="2" t="s">
        <v>343</v>
      </c>
      <c r="F311" s="4" t="s">
        <v>30</v>
      </c>
      <c r="G311" s="4" t="s">
        <v>30</v>
      </c>
      <c r="H311" s="7">
        <v>36165</v>
      </c>
      <c r="I311" s="21">
        <f t="shared" ca="1" si="22"/>
        <v>27</v>
      </c>
      <c r="J311" s="8">
        <v>11000000</v>
      </c>
      <c r="K311" s="8">
        <v>34000000</v>
      </c>
      <c r="L311" s="8">
        <v>135000</v>
      </c>
      <c r="M311" s="8">
        <f>(Table2[[#This Row],[Salary/
Week]]*52)</f>
        <v>7020000</v>
      </c>
      <c r="N311" s="9">
        <v>45297</v>
      </c>
      <c r="O311" s="10">
        <v>46568</v>
      </c>
      <c r="P311" s="4">
        <f t="shared" ca="1" si="23"/>
        <v>2</v>
      </c>
      <c r="Q311" s="4">
        <f t="shared" ca="1" si="24"/>
        <v>0</v>
      </c>
      <c r="R311" s="4">
        <f t="shared" ca="1" si="25"/>
        <v>9</v>
      </c>
      <c r="S311" s="4"/>
      <c r="T311" s="4"/>
      <c r="U311" s="4"/>
      <c r="V311" s="4" t="s">
        <v>397</v>
      </c>
      <c r="W311" s="2"/>
      <c r="X311" s="4"/>
    </row>
    <row r="312" spans="1:24" x14ac:dyDescent="0.25">
      <c r="A312" s="1" t="s">
        <v>327</v>
      </c>
      <c r="B312" s="4"/>
      <c r="C312" s="5" t="s">
        <v>401</v>
      </c>
      <c r="D312" s="12">
        <v>22</v>
      </c>
      <c r="E312" s="2" t="s">
        <v>344</v>
      </c>
      <c r="F312" s="4" t="s">
        <v>33</v>
      </c>
      <c r="G312" s="4" t="s">
        <v>32</v>
      </c>
      <c r="H312" s="7">
        <v>36926</v>
      </c>
      <c r="I312" s="21">
        <f t="shared" ca="1" si="22"/>
        <v>25</v>
      </c>
      <c r="J312" s="8">
        <v>6000000</v>
      </c>
      <c r="K312" s="8">
        <v>8000000</v>
      </c>
      <c r="L312" s="8">
        <v>45000</v>
      </c>
      <c r="M312" s="8">
        <f>(Table2[[#This Row],[Salary/
Week]]*52)</f>
        <v>2340000</v>
      </c>
      <c r="N312" s="9">
        <v>45138</v>
      </c>
      <c r="O312" s="10">
        <v>46568</v>
      </c>
      <c r="P312" s="4">
        <f t="shared" ca="1" si="23"/>
        <v>3</v>
      </c>
      <c r="Q312" s="4">
        <f t="shared" ca="1" si="24"/>
        <v>0</v>
      </c>
      <c r="R312" s="4">
        <f t="shared" ca="1" si="25"/>
        <v>9</v>
      </c>
      <c r="S312" s="4"/>
      <c r="T312" s="4"/>
      <c r="U312" s="4"/>
      <c r="V312" s="4" t="s">
        <v>397</v>
      </c>
      <c r="W312" s="2"/>
      <c r="X312" s="4"/>
    </row>
    <row r="313" spans="1:24" x14ac:dyDescent="0.25">
      <c r="A313" s="1" t="s">
        <v>327</v>
      </c>
      <c r="B313" s="4"/>
      <c r="C313" s="5" t="s">
        <v>400</v>
      </c>
      <c r="D313" s="12">
        <v>11</v>
      </c>
      <c r="E313" s="2" t="s">
        <v>345</v>
      </c>
      <c r="F313" s="4" t="s">
        <v>33</v>
      </c>
      <c r="G313" s="4" t="s">
        <v>32</v>
      </c>
      <c r="H313" s="7">
        <v>36873</v>
      </c>
      <c r="I313" s="21">
        <f t="shared" ca="1" si="22"/>
        <v>25</v>
      </c>
      <c r="J313" s="8">
        <v>16000000</v>
      </c>
      <c r="K313" s="8">
        <v>10450000</v>
      </c>
      <c r="L313" s="8">
        <v>45000</v>
      </c>
      <c r="M313" s="8">
        <f>(Table2[[#This Row],[Salary/
Week]]*52)</f>
        <v>2340000</v>
      </c>
      <c r="N313" s="9">
        <v>45093</v>
      </c>
      <c r="O313" s="10">
        <v>46934</v>
      </c>
      <c r="P313" s="4">
        <f t="shared" ca="1" si="23"/>
        <v>3</v>
      </c>
      <c r="Q313" s="4">
        <f t="shared" ca="1" si="24"/>
        <v>1</v>
      </c>
      <c r="R313" s="4">
        <f t="shared" ca="1" si="25"/>
        <v>21</v>
      </c>
      <c r="S313" s="4"/>
      <c r="T313" s="4"/>
      <c r="U313" s="4"/>
      <c r="V313" s="4" t="s">
        <v>397</v>
      </c>
      <c r="W313" s="2"/>
      <c r="X313" s="4"/>
    </row>
    <row r="314" spans="1:24" x14ac:dyDescent="0.25">
      <c r="A314" s="1" t="s">
        <v>327</v>
      </c>
      <c r="B314" s="4"/>
      <c r="C314" s="5" t="s">
        <v>400</v>
      </c>
      <c r="D314" s="12">
        <v>9</v>
      </c>
      <c r="E314" s="2" t="s">
        <v>346</v>
      </c>
      <c r="F314" s="4" t="s">
        <v>31</v>
      </c>
      <c r="G314" s="4" t="s">
        <v>31</v>
      </c>
      <c r="H314" s="7">
        <v>37503</v>
      </c>
      <c r="I314" s="21">
        <f t="shared" ca="1" si="22"/>
        <v>24</v>
      </c>
      <c r="J314" s="8">
        <v>0</v>
      </c>
      <c r="K314" s="8">
        <v>80000000</v>
      </c>
      <c r="L314" s="8">
        <v>56000</v>
      </c>
      <c r="M314" s="8">
        <f>(Table2[[#This Row],[Salary/
Week]]*52)</f>
        <v>2912000</v>
      </c>
      <c r="N314" s="9">
        <v>45526</v>
      </c>
      <c r="O314" s="10">
        <v>47299</v>
      </c>
      <c r="P314" s="4">
        <f t="shared" ca="1" si="23"/>
        <v>2</v>
      </c>
      <c r="Q314" s="4">
        <f t="shared" ca="1" si="24"/>
        <v>2</v>
      </c>
      <c r="R314" s="4">
        <f t="shared" ca="1" si="25"/>
        <v>33</v>
      </c>
      <c r="S314" s="4"/>
      <c r="T314" s="4"/>
      <c r="U314" s="4"/>
      <c r="V314" s="4" t="s">
        <v>397</v>
      </c>
      <c r="W314" s="2"/>
      <c r="X314" s="4"/>
    </row>
    <row r="315" spans="1:24" x14ac:dyDescent="0.25">
      <c r="A315" s="1" t="s">
        <v>327</v>
      </c>
      <c r="B315" s="4"/>
      <c r="C315" s="5" t="s">
        <v>401</v>
      </c>
      <c r="D315" s="12">
        <v>8</v>
      </c>
      <c r="E315" s="2" t="s">
        <v>347</v>
      </c>
      <c r="F315" s="4" t="s">
        <v>31</v>
      </c>
      <c r="G315" s="4" t="s">
        <v>31</v>
      </c>
      <c r="H315" s="7">
        <v>35938</v>
      </c>
      <c r="I315" s="21">
        <f t="shared" ca="1" si="22"/>
        <v>28</v>
      </c>
      <c r="J315" s="8">
        <v>0</v>
      </c>
      <c r="K315" s="8">
        <v>0</v>
      </c>
      <c r="L315" s="8">
        <v>42000</v>
      </c>
      <c r="M315" s="8">
        <f>(Table2[[#This Row],[Salary/
Week]]*52)</f>
        <v>2184000</v>
      </c>
      <c r="N315" s="9">
        <v>44933</v>
      </c>
      <c r="O315" s="10">
        <v>46568</v>
      </c>
      <c r="P315" s="4">
        <f t="shared" ca="1" si="23"/>
        <v>3</v>
      </c>
      <c r="Q315" s="4">
        <f t="shared" ca="1" si="24"/>
        <v>0</v>
      </c>
      <c r="R315" s="4">
        <f t="shared" ca="1" si="25"/>
        <v>9</v>
      </c>
      <c r="S315" s="4"/>
      <c r="T315" s="4"/>
      <c r="U315" s="4"/>
      <c r="V315" s="4" t="s">
        <v>396</v>
      </c>
      <c r="W315" s="2"/>
      <c r="X315" s="4"/>
    </row>
    <row r="316" spans="1:24" x14ac:dyDescent="0.25">
      <c r="A316" s="1" t="s">
        <v>327</v>
      </c>
      <c r="B316" s="4"/>
      <c r="C316" s="5" t="s">
        <v>401</v>
      </c>
      <c r="D316" s="12">
        <v>12</v>
      </c>
      <c r="E316" s="2" t="s">
        <v>348</v>
      </c>
      <c r="F316" s="4" t="s">
        <v>36</v>
      </c>
      <c r="G316" s="4" t="s">
        <v>35</v>
      </c>
      <c r="H316" s="7">
        <v>35791</v>
      </c>
      <c r="I316" s="21">
        <f t="shared" ca="1" si="22"/>
        <v>28</v>
      </c>
      <c r="J316" s="8">
        <v>900000</v>
      </c>
      <c r="K316" s="8">
        <v>8000000</v>
      </c>
      <c r="L316" s="8">
        <v>224560</v>
      </c>
      <c r="M316" s="8">
        <f>(Table2[[#This Row],[Salary/
Week]]*52)</f>
        <v>11677120</v>
      </c>
      <c r="N316" s="9">
        <v>45295</v>
      </c>
      <c r="O316" s="10">
        <v>48395</v>
      </c>
      <c r="P316" s="4">
        <f t="shared" ca="1" si="23"/>
        <v>2</v>
      </c>
      <c r="Q316" s="4">
        <f t="shared" ca="1" si="24"/>
        <v>5</v>
      </c>
      <c r="R316" s="4">
        <f t="shared" ca="1" si="25"/>
        <v>69</v>
      </c>
      <c r="S316" s="4"/>
      <c r="T316" s="4"/>
      <c r="U316" s="4"/>
      <c r="V316" s="4" t="s">
        <v>397</v>
      </c>
      <c r="W316" s="2"/>
      <c r="X316" s="4"/>
    </row>
    <row r="317" spans="1:24" x14ac:dyDescent="0.25">
      <c r="A317" s="1" t="s">
        <v>327</v>
      </c>
      <c r="B317" s="4"/>
      <c r="C317" s="5" t="s">
        <v>400</v>
      </c>
      <c r="D317" s="12">
        <v>7</v>
      </c>
      <c r="E317" s="2" t="s">
        <v>349</v>
      </c>
      <c r="F317" s="4" t="s">
        <v>36</v>
      </c>
      <c r="G317" s="4" t="s">
        <v>35</v>
      </c>
      <c r="H317" s="7">
        <v>36863</v>
      </c>
      <c r="I317" s="21">
        <f t="shared" ca="1" si="22"/>
        <v>25</v>
      </c>
      <c r="J317" s="8">
        <v>8000000</v>
      </c>
      <c r="K317" s="8">
        <v>1800000</v>
      </c>
      <c r="L317" s="8">
        <v>84000</v>
      </c>
      <c r="M317" s="8">
        <f>(Table2[[#This Row],[Salary/
Week]]*52)</f>
        <v>4368000</v>
      </c>
      <c r="N317" s="9">
        <v>45522</v>
      </c>
      <c r="O317" s="10">
        <v>46934</v>
      </c>
      <c r="P317" s="4">
        <f t="shared" ca="1" si="23"/>
        <v>2</v>
      </c>
      <c r="Q317" s="4">
        <f t="shared" ca="1" si="24"/>
        <v>1</v>
      </c>
      <c r="R317" s="4">
        <f t="shared" ca="1" si="25"/>
        <v>21</v>
      </c>
      <c r="S317" s="4"/>
      <c r="T317" s="4"/>
      <c r="U317" s="4"/>
      <c r="V317" s="4" t="s">
        <v>397</v>
      </c>
      <c r="W317" s="2"/>
      <c r="X317" s="4"/>
    </row>
    <row r="318" spans="1:24" x14ac:dyDescent="0.25">
      <c r="A318" s="1" t="s">
        <v>350</v>
      </c>
      <c r="B318" s="4"/>
      <c r="C318" s="5" t="s">
        <v>400</v>
      </c>
      <c r="D318" s="12">
        <v>1</v>
      </c>
      <c r="E318" s="2" t="s">
        <v>351</v>
      </c>
      <c r="F318" s="4" t="s">
        <v>23</v>
      </c>
      <c r="G318" s="4" t="s">
        <v>23</v>
      </c>
      <c r="H318" s="7">
        <v>36564</v>
      </c>
      <c r="I318" s="21">
        <f t="shared" ca="1" si="22"/>
        <v>26</v>
      </c>
      <c r="J318" s="8">
        <v>0</v>
      </c>
      <c r="K318" s="8">
        <v>0</v>
      </c>
      <c r="L318" s="8">
        <v>60000</v>
      </c>
      <c r="M318" s="8">
        <f>(Table2[[#This Row],[Salary/
Week]]*52)</f>
        <v>3120000</v>
      </c>
      <c r="N318" s="9">
        <v>44737</v>
      </c>
      <c r="O318" s="10">
        <v>46568</v>
      </c>
      <c r="P318" s="4">
        <f t="shared" ca="1" si="23"/>
        <v>4</v>
      </c>
      <c r="Q318" s="4">
        <f t="shared" ca="1" si="24"/>
        <v>0</v>
      </c>
      <c r="R318" s="4">
        <f t="shared" ca="1" si="25"/>
        <v>9</v>
      </c>
      <c r="S318" s="4"/>
      <c r="T318" s="4"/>
      <c r="U318" s="4"/>
      <c r="V318" s="4" t="s">
        <v>397</v>
      </c>
      <c r="W318" s="2"/>
      <c r="X318" s="4"/>
    </row>
    <row r="319" spans="1:24" x14ac:dyDescent="0.25">
      <c r="A319" s="1" t="s">
        <v>350</v>
      </c>
      <c r="B319" s="4"/>
      <c r="C319" s="5" t="s">
        <v>401</v>
      </c>
      <c r="D319" s="12">
        <v>21</v>
      </c>
      <c r="E319" s="2" t="s">
        <v>352</v>
      </c>
      <c r="F319" s="4" t="s">
        <v>23</v>
      </c>
      <c r="G319" s="4" t="s">
        <v>23</v>
      </c>
      <c r="H319" s="7">
        <v>36003</v>
      </c>
      <c r="I319" s="21">
        <f t="shared" ca="1" si="22"/>
        <v>28</v>
      </c>
      <c r="J319" s="8">
        <v>0</v>
      </c>
      <c r="K319" s="8">
        <v>0</v>
      </c>
      <c r="L319" s="8">
        <v>33000</v>
      </c>
      <c r="M319" s="8">
        <f>(Table2[[#This Row],[Salary/
Week]]*52)</f>
        <v>1716000</v>
      </c>
      <c r="N319" s="9">
        <v>45502</v>
      </c>
      <c r="O319" s="10">
        <v>46934</v>
      </c>
      <c r="P319" s="4">
        <f t="shared" ca="1" si="23"/>
        <v>2</v>
      </c>
      <c r="Q319" s="4">
        <f t="shared" ca="1" si="24"/>
        <v>1</v>
      </c>
      <c r="R319" s="4">
        <f t="shared" ca="1" si="25"/>
        <v>21</v>
      </c>
      <c r="S319" s="4"/>
      <c r="T319" s="4"/>
      <c r="U319" s="4"/>
      <c r="V319" s="4" t="s">
        <v>397</v>
      </c>
      <c r="W319" s="2"/>
      <c r="X319" s="4"/>
    </row>
    <row r="320" spans="1:24" x14ac:dyDescent="0.25">
      <c r="A320" s="1" t="s">
        <v>350</v>
      </c>
      <c r="B320" s="4"/>
      <c r="C320" s="5" t="s">
        <v>402</v>
      </c>
      <c r="D320" s="12">
        <v>22</v>
      </c>
      <c r="E320" s="2" t="s">
        <v>353</v>
      </c>
      <c r="F320" s="4" t="s">
        <v>23</v>
      </c>
      <c r="G320" s="4" t="s">
        <v>23</v>
      </c>
      <c r="H320" s="7">
        <v>36591</v>
      </c>
      <c r="I320" s="21">
        <f t="shared" ca="1" si="22"/>
        <v>26</v>
      </c>
      <c r="J320" s="8">
        <v>0</v>
      </c>
      <c r="K320" s="8">
        <v>0</v>
      </c>
      <c r="L320" s="8">
        <v>17000</v>
      </c>
      <c r="M320" s="8">
        <f>(Table2[[#This Row],[Salary/
Week]]*52)</f>
        <v>884000</v>
      </c>
      <c r="N320" s="9">
        <v>45103</v>
      </c>
      <c r="O320" s="10">
        <v>46934</v>
      </c>
      <c r="P320" s="4">
        <f t="shared" ca="1" si="23"/>
        <v>3</v>
      </c>
      <c r="Q320" s="4">
        <f t="shared" ca="1" si="24"/>
        <v>1</v>
      </c>
      <c r="R320" s="4">
        <f t="shared" ca="1" si="25"/>
        <v>21</v>
      </c>
      <c r="S320" s="4"/>
      <c r="T320" s="4"/>
      <c r="U320" s="4"/>
      <c r="V320" s="4" t="s">
        <v>396</v>
      </c>
      <c r="W320" s="2"/>
      <c r="X320" s="4"/>
    </row>
    <row r="321" spans="1:24" x14ac:dyDescent="0.25">
      <c r="A321" s="1" t="s">
        <v>350</v>
      </c>
      <c r="B321" s="4"/>
      <c r="C321" s="5" t="s">
        <v>400</v>
      </c>
      <c r="D321" s="12">
        <v>3</v>
      </c>
      <c r="E321" s="2" t="s">
        <v>354</v>
      </c>
      <c r="F321" s="4" t="s">
        <v>25</v>
      </c>
      <c r="G321" s="4" t="s">
        <v>25</v>
      </c>
      <c r="H321" s="7">
        <v>36944</v>
      </c>
      <c r="I321" s="21">
        <f t="shared" ca="1" si="22"/>
        <v>25</v>
      </c>
      <c r="J321" s="8">
        <v>9000000</v>
      </c>
      <c r="K321" s="8">
        <v>3500000</v>
      </c>
      <c r="L321" s="8">
        <v>42000</v>
      </c>
      <c r="M321" s="8">
        <f>(Table2[[#This Row],[Salary/
Week]]*52)</f>
        <v>2184000</v>
      </c>
      <c r="N321" s="9">
        <v>45169</v>
      </c>
      <c r="O321" s="10">
        <v>46568</v>
      </c>
      <c r="P321" s="4">
        <f t="shared" ca="1" si="23"/>
        <v>3</v>
      </c>
      <c r="Q321" s="4">
        <f t="shared" ca="1" si="24"/>
        <v>0</v>
      </c>
      <c r="R321" s="4">
        <f t="shared" ca="1" si="25"/>
        <v>9</v>
      </c>
      <c r="S321" s="4"/>
      <c r="T321" s="4"/>
      <c r="U321" s="4"/>
      <c r="V321" s="4" t="s">
        <v>396</v>
      </c>
      <c r="W321" s="2"/>
      <c r="X321" s="4"/>
    </row>
    <row r="322" spans="1:24" x14ac:dyDescent="0.25">
      <c r="A322" s="1" t="s">
        <v>350</v>
      </c>
      <c r="B322" s="4"/>
      <c r="C322" s="5" t="s">
        <v>400</v>
      </c>
      <c r="D322" s="12">
        <v>5</v>
      </c>
      <c r="E322" s="2" t="s">
        <v>356</v>
      </c>
      <c r="F322" s="4" t="s">
        <v>26</v>
      </c>
      <c r="G322" s="4" t="s">
        <v>26</v>
      </c>
      <c r="H322" s="7">
        <v>37712</v>
      </c>
      <c r="I322" s="21">
        <f t="shared" ca="1" si="22"/>
        <v>23</v>
      </c>
      <c r="J322" s="8">
        <v>0</v>
      </c>
      <c r="K322" s="8">
        <v>0</v>
      </c>
      <c r="L322" s="8">
        <v>32000</v>
      </c>
      <c r="M322" s="8">
        <f>(Table2[[#This Row],[Salary/
Week]]*52)</f>
        <v>1664000</v>
      </c>
      <c r="N322" s="9">
        <v>44755</v>
      </c>
      <c r="O322" s="10">
        <v>46934</v>
      </c>
      <c r="P322" s="4">
        <f t="shared" ca="1" si="23"/>
        <v>4</v>
      </c>
      <c r="Q322" s="4">
        <f t="shared" ca="1" si="24"/>
        <v>1</v>
      </c>
      <c r="R322" s="4">
        <f t="shared" ca="1" si="25"/>
        <v>21</v>
      </c>
      <c r="S322" s="4"/>
      <c r="T322" s="4"/>
      <c r="U322" s="4"/>
      <c r="V322" s="4" t="s">
        <v>396</v>
      </c>
      <c r="W322" s="2"/>
      <c r="X322" s="4"/>
    </row>
    <row r="323" spans="1:24" x14ac:dyDescent="0.25">
      <c r="A323" s="1" t="s">
        <v>350</v>
      </c>
      <c r="B323" s="4"/>
      <c r="C323" s="5" t="s">
        <v>401</v>
      </c>
      <c r="D323" s="12">
        <v>16</v>
      </c>
      <c r="E323" s="2" t="s">
        <v>357</v>
      </c>
      <c r="F323" s="4" t="s">
        <v>26</v>
      </c>
      <c r="G323" s="4" t="s">
        <v>26</v>
      </c>
      <c r="H323" s="7">
        <v>36012</v>
      </c>
      <c r="I323" s="21">
        <f t="shared" ca="1" si="22"/>
        <v>28</v>
      </c>
      <c r="J323" s="8">
        <v>0</v>
      </c>
      <c r="K323" s="8">
        <v>4000000</v>
      </c>
      <c r="L323" s="8">
        <v>55000</v>
      </c>
      <c r="M323" s="8">
        <f>(Table2[[#This Row],[Salary/
Week]]*52)</f>
        <v>2860000</v>
      </c>
      <c r="N323" s="9">
        <v>45321</v>
      </c>
      <c r="O323" s="10">
        <v>46934</v>
      </c>
      <c r="P323" s="4">
        <f t="shared" ca="1" si="23"/>
        <v>2</v>
      </c>
      <c r="Q323" s="4">
        <f t="shared" ca="1" si="24"/>
        <v>1</v>
      </c>
      <c r="R323" s="4">
        <f t="shared" ca="1" si="25"/>
        <v>21</v>
      </c>
      <c r="S323" s="4"/>
      <c r="T323" s="4"/>
      <c r="U323" s="4"/>
      <c r="V323" s="4" t="s">
        <v>396</v>
      </c>
      <c r="W323" s="2"/>
      <c r="X323" s="4"/>
    </row>
    <row r="324" spans="1:24" x14ac:dyDescent="0.25">
      <c r="A324" s="1" t="s">
        <v>350</v>
      </c>
      <c r="B324" s="4"/>
      <c r="C324" s="5" t="s">
        <v>401</v>
      </c>
      <c r="D324" s="12">
        <v>4</v>
      </c>
      <c r="E324" s="2" t="s">
        <v>358</v>
      </c>
      <c r="F324" s="4" t="s">
        <v>26</v>
      </c>
      <c r="G324" s="4" t="s">
        <v>26</v>
      </c>
      <c r="H324" s="7">
        <v>37845</v>
      </c>
      <c r="I324" s="21">
        <f t="shared" ca="1" si="22"/>
        <v>23</v>
      </c>
      <c r="J324" s="8">
        <v>1000</v>
      </c>
      <c r="K324" s="8">
        <v>1000000</v>
      </c>
      <c r="L324" s="8">
        <v>18000</v>
      </c>
      <c r="M324" s="8">
        <f>(Table2[[#This Row],[Salary/
Week]]*52)</f>
        <v>936000</v>
      </c>
      <c r="N324" s="9">
        <v>45878</v>
      </c>
      <c r="O324" s="10">
        <v>46934</v>
      </c>
      <c r="P324" s="4">
        <f t="shared" ca="1" si="23"/>
        <v>1</v>
      </c>
      <c r="Q324" s="4">
        <f t="shared" ca="1" si="24"/>
        <v>1</v>
      </c>
      <c r="R324" s="4">
        <f t="shared" ca="1" si="25"/>
        <v>21</v>
      </c>
      <c r="S324" s="4"/>
      <c r="T324" s="4"/>
      <c r="U324" s="4"/>
      <c r="V324" s="4" t="s">
        <v>396</v>
      </c>
      <c r="W324" s="2"/>
      <c r="X324" s="4"/>
    </row>
    <row r="325" spans="1:24" x14ac:dyDescent="0.25">
      <c r="A325" s="1" t="s">
        <v>350</v>
      </c>
      <c r="B325" s="4"/>
      <c r="C325" s="5" t="s">
        <v>400</v>
      </c>
      <c r="D325" s="12">
        <v>18</v>
      </c>
      <c r="E325" s="2" t="s">
        <v>359</v>
      </c>
      <c r="F325" s="4" t="s">
        <v>26</v>
      </c>
      <c r="G325" s="4" t="s">
        <v>26</v>
      </c>
      <c r="H325" s="7">
        <v>38453</v>
      </c>
      <c r="I325" s="21">
        <f t="shared" ca="1" si="22"/>
        <v>21</v>
      </c>
      <c r="J325" s="8">
        <v>0</v>
      </c>
      <c r="K325" s="8">
        <v>0</v>
      </c>
      <c r="L325" s="8">
        <v>30000</v>
      </c>
      <c r="M325" s="8">
        <f>(Table2[[#This Row],[Salary/
Week]]*52)</f>
        <v>1560000</v>
      </c>
      <c r="N325" s="9">
        <v>44588</v>
      </c>
      <c r="O325" s="10">
        <v>46568</v>
      </c>
      <c r="P325" s="4">
        <f t="shared" ca="1" si="23"/>
        <v>4</v>
      </c>
      <c r="Q325" s="4">
        <f t="shared" ca="1" si="24"/>
        <v>0</v>
      </c>
      <c r="R325" s="4">
        <f t="shared" ca="1" si="25"/>
        <v>9</v>
      </c>
      <c r="S325" s="4"/>
      <c r="T325" s="4"/>
      <c r="U325" s="4"/>
      <c r="V325" s="4" t="s">
        <v>397</v>
      </c>
      <c r="W325" s="2"/>
      <c r="X325" s="4"/>
    </row>
    <row r="326" spans="1:24" x14ac:dyDescent="0.25">
      <c r="A326" s="1" t="s">
        <v>350</v>
      </c>
      <c r="B326" s="4" t="s">
        <v>57</v>
      </c>
      <c r="C326" s="5" t="s">
        <v>400</v>
      </c>
      <c r="D326" s="12">
        <v>14</v>
      </c>
      <c r="E326" s="2" t="s">
        <v>360</v>
      </c>
      <c r="F326" s="4" t="s">
        <v>27</v>
      </c>
      <c r="G326" s="4" t="s">
        <v>27</v>
      </c>
      <c r="H326" s="7">
        <v>36766</v>
      </c>
      <c r="I326" s="21">
        <f t="shared" ca="1" si="22"/>
        <v>26</v>
      </c>
      <c r="J326" s="8">
        <v>765000</v>
      </c>
      <c r="K326" s="8">
        <v>5000000</v>
      </c>
      <c r="L326" s="8">
        <v>45000</v>
      </c>
      <c r="M326" s="8">
        <f>(Table2[[#This Row],[Salary/
Week]]*52)</f>
        <v>2340000</v>
      </c>
      <c r="N326" s="9">
        <v>45520</v>
      </c>
      <c r="O326" s="10">
        <v>47299</v>
      </c>
      <c r="P326" s="4">
        <f t="shared" ca="1" si="23"/>
        <v>2</v>
      </c>
      <c r="Q326" s="4">
        <f t="shared" ca="1" si="24"/>
        <v>2</v>
      </c>
      <c r="R326" s="4">
        <f t="shared" ca="1" si="25"/>
        <v>33</v>
      </c>
      <c r="S326" s="4"/>
      <c r="T326" s="4"/>
      <c r="U326" s="4"/>
      <c r="V326" s="4" t="s">
        <v>397</v>
      </c>
      <c r="W326" s="2"/>
      <c r="X326" s="4"/>
    </row>
    <row r="327" spans="1:24" x14ac:dyDescent="0.25">
      <c r="A327" s="1" t="s">
        <v>350</v>
      </c>
      <c r="B327" s="4"/>
      <c r="C327" s="5" t="s">
        <v>401</v>
      </c>
      <c r="D327" s="12">
        <v>32</v>
      </c>
      <c r="E327" s="2" t="s">
        <v>361</v>
      </c>
      <c r="F327" s="4" t="s">
        <v>27</v>
      </c>
      <c r="G327" s="4" t="s">
        <v>27</v>
      </c>
      <c r="H327" s="7">
        <v>37606</v>
      </c>
      <c r="I327" s="21">
        <f t="shared" ca="1" si="22"/>
        <v>23</v>
      </c>
      <c r="J327" s="8">
        <v>0</v>
      </c>
      <c r="K327" s="8">
        <v>0</v>
      </c>
      <c r="L327" s="8">
        <v>34000</v>
      </c>
      <c r="M327" s="8">
        <f>(Table2[[#This Row],[Salary/
Week]]*52)</f>
        <v>1768000</v>
      </c>
      <c r="N327" s="9">
        <v>44956</v>
      </c>
      <c r="O327" s="10">
        <v>46568</v>
      </c>
      <c r="P327" s="4">
        <f t="shared" ca="1" si="23"/>
        <v>3</v>
      </c>
      <c r="Q327" s="4">
        <f t="shared" ca="1" si="24"/>
        <v>0</v>
      </c>
      <c r="R327" s="4">
        <f t="shared" ca="1" si="25"/>
        <v>9</v>
      </c>
      <c r="S327" s="4"/>
      <c r="T327" s="4"/>
      <c r="U327" s="4"/>
      <c r="V327" s="4" t="s">
        <v>397</v>
      </c>
      <c r="W327" s="2"/>
      <c r="X327" s="4"/>
    </row>
    <row r="328" spans="1:24" x14ac:dyDescent="0.25">
      <c r="A328" s="1" t="s">
        <v>350</v>
      </c>
      <c r="B328" s="4"/>
      <c r="C328" s="5" t="s">
        <v>400</v>
      </c>
      <c r="D328" s="12">
        <v>8</v>
      </c>
      <c r="E328" s="2" t="s">
        <v>362</v>
      </c>
      <c r="F328" s="4" t="s">
        <v>29</v>
      </c>
      <c r="G328" s="4" t="s">
        <v>29</v>
      </c>
      <c r="H328" s="7">
        <v>34569</v>
      </c>
      <c r="I328" s="21">
        <f t="shared" ca="1" si="22"/>
        <v>32</v>
      </c>
      <c r="J328" s="8">
        <v>7000000</v>
      </c>
      <c r="K328" s="8">
        <v>2500000</v>
      </c>
      <c r="L328" s="8">
        <v>125000</v>
      </c>
      <c r="M328" s="8">
        <f>(Table2[[#This Row],[Salary/
Week]]*52)</f>
        <v>6500000</v>
      </c>
      <c r="N328" s="9">
        <v>45529</v>
      </c>
      <c r="O328" s="10">
        <v>46934</v>
      </c>
      <c r="P328" s="4">
        <f t="shared" ca="1" si="23"/>
        <v>2</v>
      </c>
      <c r="Q328" s="4">
        <f t="shared" ca="1" si="24"/>
        <v>1</v>
      </c>
      <c r="R328" s="4">
        <f t="shared" ca="1" si="25"/>
        <v>21</v>
      </c>
      <c r="S328" s="4"/>
      <c r="T328" s="4"/>
      <c r="U328" s="4"/>
      <c r="V328" s="4" t="s">
        <v>396</v>
      </c>
      <c r="W328" s="2"/>
      <c r="X328" s="4"/>
    </row>
    <row r="329" spans="1:24" x14ac:dyDescent="0.25">
      <c r="A329" s="1" t="s">
        <v>350</v>
      </c>
      <c r="B329" s="4"/>
      <c r="C329" s="5" t="s">
        <v>400</v>
      </c>
      <c r="D329" s="12">
        <v>25</v>
      </c>
      <c r="E329" s="2" t="s">
        <v>363</v>
      </c>
      <c r="F329" s="4" t="s">
        <v>29</v>
      </c>
      <c r="G329" s="4" t="s">
        <v>29</v>
      </c>
      <c r="H329" s="7">
        <v>35261</v>
      </c>
      <c r="I329" s="21">
        <f t="shared" ca="1" si="22"/>
        <v>30</v>
      </c>
      <c r="J329" s="8">
        <v>0</v>
      </c>
      <c r="K329" s="8">
        <v>3500000</v>
      </c>
      <c r="L329" s="8">
        <v>77000</v>
      </c>
      <c r="M329" s="8">
        <f>(Table2[[#This Row],[Salary/
Week]]*52)</f>
        <v>4004000</v>
      </c>
      <c r="N329" s="9">
        <v>44758</v>
      </c>
      <c r="O329" s="10">
        <v>46934</v>
      </c>
      <c r="P329" s="4">
        <f t="shared" ca="1" si="23"/>
        <v>4</v>
      </c>
      <c r="Q329" s="4">
        <f t="shared" ca="1" si="24"/>
        <v>1</v>
      </c>
      <c r="R329" s="4">
        <f t="shared" ca="1" si="25"/>
        <v>21</v>
      </c>
      <c r="S329" s="4"/>
      <c r="T329" s="4"/>
      <c r="U329" s="4"/>
      <c r="V329" s="4" t="s">
        <v>397</v>
      </c>
      <c r="W329" s="2"/>
      <c r="X329" s="4"/>
    </row>
    <row r="330" spans="1:24" x14ac:dyDescent="0.25">
      <c r="A330" s="1" t="s">
        <v>350</v>
      </c>
      <c r="B330" s="4"/>
      <c r="C330" s="5" t="s">
        <v>400</v>
      </c>
      <c r="D330" s="12">
        <v>10</v>
      </c>
      <c r="E330" s="2" t="s">
        <v>365</v>
      </c>
      <c r="F330" s="4" t="s">
        <v>29</v>
      </c>
      <c r="G330" s="4" t="s">
        <v>29</v>
      </c>
      <c r="H330" s="7">
        <v>36761</v>
      </c>
      <c r="I330" s="21">
        <f t="shared" ca="1" si="22"/>
        <v>26</v>
      </c>
      <c r="J330" s="8">
        <v>1000000</v>
      </c>
      <c r="K330" s="8">
        <v>3000000</v>
      </c>
      <c r="L330" s="8">
        <v>29000</v>
      </c>
      <c r="M330" s="8">
        <f>(Table2[[#This Row],[Salary/
Week]]*52)</f>
        <v>1508000</v>
      </c>
      <c r="N330" s="9">
        <v>45446</v>
      </c>
      <c r="O330" s="10">
        <v>46934</v>
      </c>
      <c r="P330" s="4">
        <f t="shared" ca="1" si="23"/>
        <v>2</v>
      </c>
      <c r="Q330" s="4">
        <f t="shared" ca="1" si="24"/>
        <v>1</v>
      </c>
      <c r="R330" s="4">
        <f t="shared" ca="1" si="25"/>
        <v>21</v>
      </c>
      <c r="S330" s="4"/>
      <c r="T330" s="4"/>
      <c r="U330" s="4"/>
      <c r="V330" s="4" t="s">
        <v>398</v>
      </c>
      <c r="W330" s="2"/>
      <c r="X330" s="4"/>
    </row>
    <row r="331" spans="1:24" x14ac:dyDescent="0.25">
      <c r="A331" s="1" t="s">
        <v>350</v>
      </c>
      <c r="B331" s="4"/>
      <c r="C331" s="5" t="s">
        <v>401</v>
      </c>
      <c r="D331" s="12">
        <v>15</v>
      </c>
      <c r="E331" s="2" t="s">
        <v>550</v>
      </c>
      <c r="F331" s="4" t="s">
        <v>29</v>
      </c>
      <c r="G331" s="4" t="s">
        <v>28</v>
      </c>
      <c r="H331" s="7">
        <v>37774</v>
      </c>
      <c r="I331" s="21">
        <f ca="1">DATEDIF(H331,TODAY(),"Y")</f>
        <v>23</v>
      </c>
      <c r="J331" s="8">
        <v>0</v>
      </c>
      <c r="K331" s="8">
        <v>0</v>
      </c>
      <c r="L331" s="8">
        <v>65000</v>
      </c>
      <c r="M331" s="8">
        <f>(Table2[[#This Row],[Salary/
Week]]*52)</f>
        <v>3380000</v>
      </c>
      <c r="N331" s="9">
        <v>46236</v>
      </c>
      <c r="O331" s="10">
        <v>48395</v>
      </c>
      <c r="P331" s="4">
        <f ca="1">DATEDIF(N331,TODAY(),"Y")</f>
        <v>0</v>
      </c>
      <c r="Q331" s="4">
        <f ca="1">DATEDIF(TODAY(),O331,"y")</f>
        <v>5</v>
      </c>
      <c r="R331" s="4">
        <f ca="1">DATEDIF(TODAY(),O331,"m")</f>
        <v>69</v>
      </c>
      <c r="S331" s="4"/>
      <c r="T331" s="4"/>
      <c r="U331" s="4"/>
      <c r="V331" s="4" t="s">
        <v>397</v>
      </c>
      <c r="W331" s="2"/>
      <c r="X331" s="4"/>
    </row>
    <row r="332" spans="1:24" x14ac:dyDescent="0.25">
      <c r="A332" s="1" t="s">
        <v>350</v>
      </c>
      <c r="B332" s="4"/>
      <c r="C332" s="5" t="s">
        <v>401</v>
      </c>
      <c r="D332" s="12">
        <v>20</v>
      </c>
      <c r="E332" s="2" t="s">
        <v>551</v>
      </c>
      <c r="F332" s="4" t="s">
        <v>29</v>
      </c>
      <c r="G332" s="4" t="s">
        <v>28</v>
      </c>
      <c r="H332" s="7">
        <v>38232</v>
      </c>
      <c r="I332" s="21">
        <f ca="1">DATEDIF(H332,TODAY(),"Y")</f>
        <v>22</v>
      </c>
      <c r="J332" s="8">
        <v>0</v>
      </c>
      <c r="K332" s="8">
        <v>0</v>
      </c>
      <c r="L332" s="8">
        <v>35000</v>
      </c>
      <c r="M332" s="8">
        <f>(Table2[[#This Row],[Salary/
Week]]*52)</f>
        <v>1820000</v>
      </c>
      <c r="N332" s="9">
        <v>46236</v>
      </c>
      <c r="O332" s="10">
        <v>46934</v>
      </c>
      <c r="P332" s="4">
        <f ca="1">DATEDIF(N332,TODAY(),"Y")</f>
        <v>0</v>
      </c>
      <c r="Q332" s="4">
        <f ca="1">DATEDIF(TODAY(),O332,"y")</f>
        <v>1</v>
      </c>
      <c r="R332" s="4">
        <f ca="1">DATEDIF(TODAY(),O332,"m")</f>
        <v>21</v>
      </c>
      <c r="S332" s="4"/>
      <c r="T332" s="4"/>
      <c r="U332" s="4"/>
      <c r="V332" s="4" t="s">
        <v>397</v>
      </c>
      <c r="W332" s="2"/>
      <c r="X332" s="4"/>
    </row>
    <row r="333" spans="1:24" x14ac:dyDescent="0.25">
      <c r="A333" s="1" t="s">
        <v>350</v>
      </c>
      <c r="B333" s="4"/>
      <c r="C333" s="5" t="s">
        <v>401</v>
      </c>
      <c r="D333" s="12">
        <v>27</v>
      </c>
      <c r="E333" s="2" t="s">
        <v>552</v>
      </c>
      <c r="F333" s="4" t="s">
        <v>29</v>
      </c>
      <c r="G333" s="4" t="s">
        <v>30</v>
      </c>
      <c r="H333" s="7">
        <v>38962</v>
      </c>
      <c r="I333" s="21">
        <f ca="1">DATEDIF(H333,TODAY(),"Y")</f>
        <v>20</v>
      </c>
      <c r="J333" s="8">
        <v>5000</v>
      </c>
      <c r="K333" s="8">
        <v>0</v>
      </c>
      <c r="L333" s="8">
        <v>45000</v>
      </c>
      <c r="M333" s="8">
        <f>(Table2[[#This Row],[Salary/
Week]]*52)</f>
        <v>2340000</v>
      </c>
      <c r="N333" s="9">
        <v>46236</v>
      </c>
      <c r="O333" s="10">
        <v>47664</v>
      </c>
      <c r="P333" s="4">
        <f ca="1">DATEDIF(N333,TODAY(),"Y")</f>
        <v>0</v>
      </c>
      <c r="Q333" s="4">
        <f ca="1">DATEDIF(TODAY(),O333,"y")</f>
        <v>3</v>
      </c>
      <c r="R333" s="4">
        <f ca="1">DATEDIF(TODAY(),O333,"m")</f>
        <v>45</v>
      </c>
      <c r="S333" s="4"/>
      <c r="T333" s="4"/>
      <c r="U333" s="4"/>
      <c r="V333" s="4" t="s">
        <v>397</v>
      </c>
      <c r="W333" s="2"/>
      <c r="X333" s="4"/>
    </row>
    <row r="334" spans="1:24" x14ac:dyDescent="0.25">
      <c r="A334" s="1" t="s">
        <v>350</v>
      </c>
      <c r="B334" s="4"/>
      <c r="C334" s="5" t="s">
        <v>401</v>
      </c>
      <c r="D334" s="12">
        <v>23</v>
      </c>
      <c r="E334" s="2" t="s">
        <v>366</v>
      </c>
      <c r="F334" s="4" t="s">
        <v>33</v>
      </c>
      <c r="G334" s="4" t="s">
        <v>32</v>
      </c>
      <c r="H334" s="7">
        <v>38040</v>
      </c>
      <c r="I334" s="21">
        <f t="shared" ca="1" si="22"/>
        <v>22</v>
      </c>
      <c r="J334" s="8">
        <v>0</v>
      </c>
      <c r="K334" s="8">
        <v>0</v>
      </c>
      <c r="L334" s="8">
        <v>50000</v>
      </c>
      <c r="M334" s="8">
        <f>(Table2[[#This Row],[Salary/
Week]]*52)</f>
        <v>2600000</v>
      </c>
      <c r="N334" s="9">
        <v>45136</v>
      </c>
      <c r="O334" s="10">
        <v>46568</v>
      </c>
      <c r="P334" s="4">
        <f t="shared" ca="1" si="23"/>
        <v>3</v>
      </c>
      <c r="Q334" s="4">
        <f t="shared" ca="1" si="24"/>
        <v>0</v>
      </c>
      <c r="R334" s="4">
        <f t="shared" ca="1" si="25"/>
        <v>9</v>
      </c>
      <c r="S334" s="4"/>
      <c r="T334" s="4"/>
      <c r="U334" s="4"/>
      <c r="V334" s="4" t="s">
        <v>397</v>
      </c>
      <c r="W334" s="2"/>
      <c r="X334" s="4"/>
    </row>
    <row r="335" spans="1:24" x14ac:dyDescent="0.25">
      <c r="A335" s="1" t="s">
        <v>350</v>
      </c>
      <c r="B335" s="4" t="s">
        <v>47</v>
      </c>
      <c r="C335" s="5" t="s">
        <v>400</v>
      </c>
      <c r="D335" s="12">
        <v>7</v>
      </c>
      <c r="E335" s="2" t="s">
        <v>367</v>
      </c>
      <c r="F335" s="4" t="s">
        <v>33</v>
      </c>
      <c r="G335" s="4" t="s">
        <v>32</v>
      </c>
      <c r="H335" s="7">
        <v>35947</v>
      </c>
      <c r="I335" s="21">
        <f t="shared" ca="1" si="22"/>
        <v>28</v>
      </c>
      <c r="J335" s="8">
        <v>0</v>
      </c>
      <c r="K335" s="8">
        <v>35000000</v>
      </c>
      <c r="L335" s="8">
        <v>64000</v>
      </c>
      <c r="M335" s="8">
        <f>(Table2[[#This Row],[Salary/
Week]]*52)</f>
        <v>3328000</v>
      </c>
      <c r="N335" s="9">
        <v>45081</v>
      </c>
      <c r="O335" s="10">
        <v>46934</v>
      </c>
      <c r="P335" s="4">
        <f t="shared" ca="1" si="23"/>
        <v>3</v>
      </c>
      <c r="Q335" s="4">
        <f t="shared" ca="1" si="24"/>
        <v>1</v>
      </c>
      <c r="R335" s="4">
        <f t="shared" ca="1" si="25"/>
        <v>21</v>
      </c>
      <c r="S335" s="4"/>
      <c r="T335" s="4"/>
      <c r="U335" s="4"/>
      <c r="V335" s="4" t="s">
        <v>397</v>
      </c>
      <c r="W335" s="2"/>
      <c r="X335" s="4"/>
    </row>
    <row r="336" spans="1:24" x14ac:dyDescent="0.25">
      <c r="A336" s="1" t="s">
        <v>350</v>
      </c>
      <c r="B336" s="4"/>
      <c r="C336" s="5" t="s">
        <v>401</v>
      </c>
      <c r="D336" s="12">
        <v>9</v>
      </c>
      <c r="E336" s="2" t="s">
        <v>368</v>
      </c>
      <c r="F336" s="4" t="s">
        <v>31</v>
      </c>
      <c r="G336" s="4" t="s">
        <v>31</v>
      </c>
      <c r="H336" s="7">
        <v>37037</v>
      </c>
      <c r="I336" s="21">
        <f t="shared" ca="1" si="22"/>
        <v>25</v>
      </c>
      <c r="J336" s="8">
        <v>0</v>
      </c>
      <c r="K336" s="8">
        <v>600000</v>
      </c>
      <c r="L336" s="8">
        <v>53000</v>
      </c>
      <c r="M336" s="8">
        <f>(Table2[[#This Row],[Salary/
Week]]*52)</f>
        <v>2756000</v>
      </c>
      <c r="N336" s="9">
        <v>45093</v>
      </c>
      <c r="O336" s="10">
        <v>46934</v>
      </c>
      <c r="P336" s="4">
        <f t="shared" ca="1" si="23"/>
        <v>3</v>
      </c>
      <c r="Q336" s="4">
        <f t="shared" ca="1" si="24"/>
        <v>1</v>
      </c>
      <c r="R336" s="4">
        <f t="shared" ca="1" si="25"/>
        <v>21</v>
      </c>
      <c r="S336" s="4"/>
      <c r="T336" s="4"/>
      <c r="U336" s="4"/>
      <c r="V336" s="4" t="s">
        <v>397</v>
      </c>
      <c r="W336" s="2"/>
      <c r="X336" s="4"/>
    </row>
    <row r="337" spans="1:24" x14ac:dyDescent="0.25">
      <c r="A337" s="1" t="s">
        <v>350</v>
      </c>
      <c r="B337" s="4"/>
      <c r="C337" s="5" t="s">
        <v>400</v>
      </c>
      <c r="D337" s="12">
        <v>30</v>
      </c>
      <c r="E337" s="2" t="s">
        <v>553</v>
      </c>
      <c r="F337" s="4" t="s">
        <v>31</v>
      </c>
      <c r="G337" s="4" t="s">
        <v>31</v>
      </c>
      <c r="H337" s="7">
        <v>38567</v>
      </c>
      <c r="I337" s="21">
        <f ca="1">DATEDIF(H337,TODAY(),"Y")</f>
        <v>21</v>
      </c>
      <c r="J337" s="8">
        <v>90000</v>
      </c>
      <c r="K337" s="8">
        <v>1000000</v>
      </c>
      <c r="L337" s="8">
        <v>80000</v>
      </c>
      <c r="M337" s="8">
        <f>(Table2[[#This Row],[Salary/
Week]]*52)</f>
        <v>4160000</v>
      </c>
      <c r="N337" s="9">
        <v>46236</v>
      </c>
      <c r="O337" s="10">
        <v>49125</v>
      </c>
      <c r="P337" s="4">
        <f ca="1">DATEDIF(N337,TODAY(),"Y")</f>
        <v>0</v>
      </c>
      <c r="Q337" s="4">
        <f ca="1">DATEDIF(TODAY(),O337,"y")</f>
        <v>7</v>
      </c>
      <c r="R337" s="4">
        <f ca="1">DATEDIF(TODAY(),O337,"m")</f>
        <v>93</v>
      </c>
      <c r="S337" s="4"/>
      <c r="T337" s="4"/>
      <c r="U337" s="4"/>
      <c r="V337" s="4" t="s">
        <v>397</v>
      </c>
      <c r="W337" s="2"/>
      <c r="X337" s="4"/>
    </row>
    <row r="338" spans="1:24" x14ac:dyDescent="0.25">
      <c r="A338" s="1" t="s">
        <v>350</v>
      </c>
      <c r="B338" s="4"/>
      <c r="C338" s="5" t="s">
        <v>401</v>
      </c>
      <c r="D338" s="12">
        <v>11</v>
      </c>
      <c r="E338" s="2" t="s">
        <v>369</v>
      </c>
      <c r="F338" s="4" t="s">
        <v>36</v>
      </c>
      <c r="G338" s="4" t="s">
        <v>35</v>
      </c>
      <c r="H338" s="7">
        <v>37024</v>
      </c>
      <c r="I338" s="21">
        <f t="shared" ca="1" si="22"/>
        <v>25</v>
      </c>
      <c r="J338" s="8">
        <v>500000</v>
      </c>
      <c r="K338" s="8">
        <v>6000000</v>
      </c>
      <c r="L338" s="8">
        <v>40000</v>
      </c>
      <c r="M338" s="8">
        <f>(Table2[[#This Row],[Salary/
Week]]*52)</f>
        <v>2080000</v>
      </c>
      <c r="N338" s="9">
        <v>44953</v>
      </c>
      <c r="O338" s="10">
        <v>48395</v>
      </c>
      <c r="P338" s="4">
        <f t="shared" ca="1" si="23"/>
        <v>3</v>
      </c>
      <c r="Q338" s="4">
        <f t="shared" ca="1" si="24"/>
        <v>5</v>
      </c>
      <c r="R338" s="4">
        <f t="shared" ca="1" si="25"/>
        <v>69</v>
      </c>
      <c r="S338" s="4"/>
      <c r="T338" s="4"/>
      <c r="U338" s="4"/>
      <c r="V338" s="4" t="s">
        <v>397</v>
      </c>
      <c r="W338" s="2"/>
      <c r="X338" s="4"/>
    </row>
    <row r="339" spans="1:24" x14ac:dyDescent="0.25">
      <c r="A339" s="1" t="s">
        <v>350</v>
      </c>
      <c r="B339" s="4"/>
      <c r="C339" s="5" t="s">
        <v>400</v>
      </c>
      <c r="D339" s="12">
        <v>24</v>
      </c>
      <c r="E339" s="2" t="s">
        <v>370</v>
      </c>
      <c r="F339" s="4" t="s">
        <v>36</v>
      </c>
      <c r="G339" s="4" t="s">
        <v>35</v>
      </c>
      <c r="H339" s="7">
        <v>36577</v>
      </c>
      <c r="I339" s="21">
        <f t="shared" ca="1" si="22"/>
        <v>26</v>
      </c>
      <c r="J339" s="8">
        <v>0</v>
      </c>
      <c r="K339" s="8">
        <v>0</v>
      </c>
      <c r="L339" s="8">
        <v>80000</v>
      </c>
      <c r="M339" s="8">
        <f>(Table2[[#This Row],[Salary/
Week]]*52)</f>
        <v>4160000</v>
      </c>
      <c r="N339" s="9">
        <v>45142</v>
      </c>
      <c r="O339" s="10">
        <v>46568</v>
      </c>
      <c r="P339" s="4">
        <f t="shared" ca="1" si="23"/>
        <v>3</v>
      </c>
      <c r="Q339" s="4">
        <f t="shared" ca="1" si="24"/>
        <v>0</v>
      </c>
      <c r="R339" s="4">
        <f t="shared" ca="1" si="25"/>
        <v>9</v>
      </c>
      <c r="S339" s="4"/>
      <c r="T339" s="4"/>
      <c r="U339" s="4"/>
      <c r="V339" s="4" t="s">
        <v>396</v>
      </c>
      <c r="W339" s="2"/>
      <c r="X339" s="4"/>
    </row>
    <row r="340" spans="1:24" x14ac:dyDescent="0.25">
      <c r="A340" s="1" t="s">
        <v>371</v>
      </c>
      <c r="B340" s="4"/>
      <c r="C340" s="5" t="s">
        <v>400</v>
      </c>
      <c r="D340" s="12">
        <v>1</v>
      </c>
      <c r="E340" s="2" t="s">
        <v>372</v>
      </c>
      <c r="F340" s="4" t="s">
        <v>23</v>
      </c>
      <c r="G340" s="4" t="s">
        <v>23</v>
      </c>
      <c r="H340" s="7">
        <v>36460</v>
      </c>
      <c r="I340" s="21">
        <f t="shared" ca="1" si="22"/>
        <v>26</v>
      </c>
      <c r="J340" s="8"/>
      <c r="K340" s="8">
        <v>8000000</v>
      </c>
      <c r="L340" s="8">
        <v>23000</v>
      </c>
      <c r="M340" s="8">
        <f>(Table2[[#This Row],[Salary/
Week]]*52)</f>
        <v>1196000</v>
      </c>
      <c r="N340" s="9">
        <v>45105</v>
      </c>
      <c r="O340" s="10">
        <v>48029</v>
      </c>
      <c r="P340" s="4">
        <f t="shared" ca="1" si="23"/>
        <v>3</v>
      </c>
      <c r="Q340" s="4">
        <f t="shared" ca="1" si="24"/>
        <v>4</v>
      </c>
      <c r="R340" s="4">
        <f t="shared" ca="1" si="25"/>
        <v>57</v>
      </c>
      <c r="S340" s="4"/>
      <c r="T340" s="4"/>
      <c r="U340" s="4"/>
      <c r="V340" s="4" t="s">
        <v>397</v>
      </c>
      <c r="W340" s="2"/>
      <c r="X340" s="4"/>
    </row>
    <row r="341" spans="1:24" x14ac:dyDescent="0.25">
      <c r="A341" s="1" t="s">
        <v>371</v>
      </c>
      <c r="B341" s="4"/>
      <c r="C341" s="5" t="s">
        <v>401</v>
      </c>
      <c r="D341" s="12">
        <v>19</v>
      </c>
      <c r="E341" s="2" t="s">
        <v>373</v>
      </c>
      <c r="F341" s="4" t="s">
        <v>23</v>
      </c>
      <c r="G341" s="4" t="s">
        <v>23</v>
      </c>
      <c r="H341" s="7">
        <v>37318</v>
      </c>
      <c r="I341" s="21">
        <f t="shared" ca="1" si="22"/>
        <v>24</v>
      </c>
      <c r="J341" s="8"/>
      <c r="K341" s="8">
        <v>0</v>
      </c>
      <c r="L341" s="8">
        <v>12000</v>
      </c>
      <c r="M341" s="8">
        <f>(Table2[[#This Row],[Salary/
Week]]*52)</f>
        <v>624000</v>
      </c>
      <c r="N341" s="9">
        <v>44412</v>
      </c>
      <c r="O341" s="10">
        <v>47299</v>
      </c>
      <c r="P341" s="4">
        <f t="shared" ca="1" si="23"/>
        <v>5</v>
      </c>
      <c r="Q341" s="4">
        <f t="shared" ca="1" si="24"/>
        <v>2</v>
      </c>
      <c r="R341" s="4">
        <f t="shared" ca="1" si="25"/>
        <v>33</v>
      </c>
      <c r="S341" s="4"/>
      <c r="T341" s="4"/>
      <c r="U341" s="4"/>
      <c r="V341" s="4" t="s">
        <v>397</v>
      </c>
      <c r="W341" s="2"/>
      <c r="X341" s="4"/>
    </row>
    <row r="342" spans="1:24" x14ac:dyDescent="0.25">
      <c r="A342" s="1" t="s">
        <v>371</v>
      </c>
      <c r="B342" s="4"/>
      <c r="C342" s="5" t="s">
        <v>400</v>
      </c>
      <c r="D342" s="12">
        <v>15</v>
      </c>
      <c r="E342" s="2" t="s">
        <v>374</v>
      </c>
      <c r="F342" s="4" t="s">
        <v>25</v>
      </c>
      <c r="G342" s="4" t="s">
        <v>25</v>
      </c>
      <c r="H342" s="7">
        <v>36696</v>
      </c>
      <c r="I342" s="21">
        <f t="shared" ca="1" si="22"/>
        <v>26</v>
      </c>
      <c r="J342" s="8"/>
      <c r="K342" s="8">
        <v>7000000</v>
      </c>
      <c r="L342" s="8">
        <v>40000</v>
      </c>
      <c r="M342" s="8">
        <f>(Table2[[#This Row],[Salary/
Week]]*52)</f>
        <v>2080000</v>
      </c>
      <c r="N342" s="9">
        <v>45447</v>
      </c>
      <c r="O342" s="10">
        <v>47664</v>
      </c>
      <c r="P342" s="4">
        <f t="shared" ca="1" si="23"/>
        <v>2</v>
      </c>
      <c r="Q342" s="4">
        <f t="shared" ca="1" si="24"/>
        <v>3</v>
      </c>
      <c r="R342" s="4">
        <f t="shared" ca="1" si="25"/>
        <v>45</v>
      </c>
      <c r="S342" s="4"/>
      <c r="T342" s="4"/>
      <c r="U342" s="4"/>
      <c r="V342" s="4" t="s">
        <v>396</v>
      </c>
      <c r="W342" s="2"/>
      <c r="X342" s="4"/>
    </row>
    <row r="343" spans="1:24" x14ac:dyDescent="0.25">
      <c r="A343" s="1" t="s">
        <v>371</v>
      </c>
      <c r="B343" s="4"/>
      <c r="C343" s="5" t="s">
        <v>401</v>
      </c>
      <c r="D343" s="12">
        <v>21</v>
      </c>
      <c r="E343" s="2" t="s">
        <v>375</v>
      </c>
      <c r="F343" s="4" t="s">
        <v>25</v>
      </c>
      <c r="G343" s="4" t="s">
        <v>25</v>
      </c>
      <c r="H343" s="7">
        <v>37876</v>
      </c>
      <c r="I343" s="21">
        <f t="shared" ref="I343:I363" ca="1" si="29">DATEDIF(H343,TODAY(),"Y")</f>
        <v>22</v>
      </c>
      <c r="J343" s="8"/>
      <c r="K343" s="8">
        <v>8000000</v>
      </c>
      <c r="L343" s="8">
        <v>35000</v>
      </c>
      <c r="M343" s="8">
        <f>(Table2[[#This Row],[Salary/
Week]]*52)</f>
        <v>1820000</v>
      </c>
      <c r="N343" s="9">
        <v>44438</v>
      </c>
      <c r="O343" s="10">
        <v>46934</v>
      </c>
      <c r="P343" s="4">
        <f t="shared" ref="P343:P363" ca="1" si="30">DATEDIF(N343,TODAY(),"Y")</f>
        <v>5</v>
      </c>
      <c r="Q343" s="4">
        <f t="shared" ref="Q343:Q363" ca="1" si="31">DATEDIF(TODAY(),O343,"y")</f>
        <v>1</v>
      </c>
      <c r="R343" s="4">
        <f t="shared" ref="R343:R363" ca="1" si="32">DATEDIF(TODAY(),O343,"m")</f>
        <v>21</v>
      </c>
      <c r="S343" s="4"/>
      <c r="T343" s="4"/>
      <c r="U343" s="4"/>
      <c r="V343" s="4" t="s">
        <v>396</v>
      </c>
      <c r="W343" s="2"/>
      <c r="X343" s="4"/>
    </row>
    <row r="344" spans="1:24" x14ac:dyDescent="0.25">
      <c r="A344" s="1" t="s">
        <v>371</v>
      </c>
      <c r="B344" s="4"/>
      <c r="C344" s="5" t="s">
        <v>400</v>
      </c>
      <c r="D344" s="12">
        <v>5</v>
      </c>
      <c r="E344" s="2" t="s">
        <v>376</v>
      </c>
      <c r="F344" s="4" t="s">
        <v>26</v>
      </c>
      <c r="G344" s="4" t="s">
        <v>26</v>
      </c>
      <c r="H344" s="7">
        <v>35809</v>
      </c>
      <c r="I344" s="21">
        <f t="shared" ca="1" si="29"/>
        <v>28</v>
      </c>
      <c r="J344" s="8"/>
      <c r="K344" s="8">
        <v>23000000</v>
      </c>
      <c r="L344" s="8">
        <v>29000</v>
      </c>
      <c r="M344" s="8">
        <f>(Table2[[#This Row],[Salary/
Week]]*52)</f>
        <v>1508000</v>
      </c>
      <c r="N344" s="9">
        <v>44736</v>
      </c>
      <c r="O344" s="10">
        <v>47664</v>
      </c>
      <c r="P344" s="4">
        <f t="shared" ca="1" si="30"/>
        <v>4</v>
      </c>
      <c r="Q344" s="4">
        <f t="shared" ca="1" si="31"/>
        <v>3</v>
      </c>
      <c r="R344" s="4">
        <f t="shared" ca="1" si="32"/>
        <v>45</v>
      </c>
      <c r="S344" s="4"/>
      <c r="T344" s="4"/>
      <c r="U344" s="4"/>
      <c r="V344" s="4" t="s">
        <v>396</v>
      </c>
      <c r="W344" s="2"/>
      <c r="X344" s="4"/>
    </row>
    <row r="345" spans="1:24" x14ac:dyDescent="0.25">
      <c r="A345" s="1" t="s">
        <v>371</v>
      </c>
      <c r="B345" s="4"/>
      <c r="C345" s="5" t="s">
        <v>400</v>
      </c>
      <c r="D345" s="12">
        <v>4</v>
      </c>
      <c r="E345" s="2" t="s">
        <v>97</v>
      </c>
      <c r="F345" s="4" t="s">
        <v>26</v>
      </c>
      <c r="G345" s="4" t="s">
        <v>26</v>
      </c>
      <c r="H345" s="7">
        <v>38208</v>
      </c>
      <c r="I345" s="21">
        <f t="shared" ca="1" si="29"/>
        <v>22</v>
      </c>
      <c r="J345" s="8"/>
      <c r="K345" s="8">
        <v>0</v>
      </c>
      <c r="L345" s="8">
        <v>85000</v>
      </c>
      <c r="M345" s="8">
        <f>(Table2[[#This Row],[Salary/
Week]]*52)</f>
        <v>4420000</v>
      </c>
      <c r="N345" s="9">
        <v>46230</v>
      </c>
      <c r="O345" s="10">
        <v>48029</v>
      </c>
      <c r="P345" s="4">
        <f t="shared" ca="1" si="30"/>
        <v>0</v>
      </c>
      <c r="Q345" s="4">
        <f t="shared" ca="1" si="31"/>
        <v>4</v>
      </c>
      <c r="R345" s="4">
        <f t="shared" ca="1" si="32"/>
        <v>57</v>
      </c>
      <c r="S345" s="4"/>
      <c r="T345" s="4"/>
      <c r="U345" s="4"/>
      <c r="V345" s="4" t="s">
        <v>396</v>
      </c>
      <c r="W345" s="2"/>
      <c r="X345" s="4"/>
    </row>
    <row r="346" spans="1:24" x14ac:dyDescent="0.25">
      <c r="A346" s="1" t="s">
        <v>371</v>
      </c>
      <c r="B346" s="4"/>
      <c r="C346" s="5" t="s">
        <v>401</v>
      </c>
      <c r="D346" s="12">
        <v>13</v>
      </c>
      <c r="E346" s="2" t="s">
        <v>378</v>
      </c>
      <c r="F346" s="4" t="s">
        <v>26</v>
      </c>
      <c r="G346" s="4" t="s">
        <v>26</v>
      </c>
      <c r="H346" s="7">
        <v>36469</v>
      </c>
      <c r="I346" s="21">
        <f t="shared" ca="1" si="29"/>
        <v>26</v>
      </c>
      <c r="J346" s="8"/>
      <c r="K346" s="8">
        <v>12000000</v>
      </c>
      <c r="L346" s="8">
        <v>29000</v>
      </c>
      <c r="M346" s="8">
        <f>(Table2[[#This Row],[Salary/
Week]]*52)</f>
        <v>1508000</v>
      </c>
      <c r="N346" s="9">
        <v>45879</v>
      </c>
      <c r="O346" s="10">
        <v>48395</v>
      </c>
      <c r="P346" s="4">
        <f t="shared" ca="1" si="30"/>
        <v>1</v>
      </c>
      <c r="Q346" s="4">
        <f t="shared" ca="1" si="31"/>
        <v>5</v>
      </c>
      <c r="R346" s="4">
        <f t="shared" ca="1" si="32"/>
        <v>69</v>
      </c>
      <c r="S346" s="4"/>
      <c r="T346" s="4"/>
      <c r="U346" s="4"/>
      <c r="V346" s="4" t="s">
        <v>397</v>
      </c>
      <c r="W346" s="2"/>
      <c r="X346" s="4"/>
    </row>
    <row r="347" spans="1:24" x14ac:dyDescent="0.25">
      <c r="A347" s="1" t="s">
        <v>371</v>
      </c>
      <c r="B347" s="4"/>
      <c r="C347" s="5" t="s">
        <v>401</v>
      </c>
      <c r="D347" s="12">
        <v>6</v>
      </c>
      <c r="E347" s="2" t="s">
        <v>379</v>
      </c>
      <c r="F347" s="4" t="s">
        <v>26</v>
      </c>
      <c r="G347" s="4" t="s">
        <v>26</v>
      </c>
      <c r="H347" s="7">
        <v>37309</v>
      </c>
      <c r="I347" s="21">
        <f t="shared" ca="1" si="29"/>
        <v>24</v>
      </c>
      <c r="J347" s="8"/>
      <c r="K347" s="8">
        <v>5000000</v>
      </c>
      <c r="L347" s="8">
        <v>35000</v>
      </c>
      <c r="M347" s="8">
        <f>(Table2[[#This Row],[Salary/
Week]]*52)</f>
        <v>1820000</v>
      </c>
      <c r="N347" s="9">
        <v>44206</v>
      </c>
      <c r="O347" s="10">
        <v>46568</v>
      </c>
      <c r="P347" s="4">
        <f t="shared" ca="1" si="30"/>
        <v>5</v>
      </c>
      <c r="Q347" s="4">
        <f t="shared" ca="1" si="31"/>
        <v>0</v>
      </c>
      <c r="R347" s="4">
        <f t="shared" ca="1" si="32"/>
        <v>9</v>
      </c>
      <c r="S347" s="4"/>
      <c r="T347" s="4"/>
      <c r="U347" s="4"/>
      <c r="V347" s="4" t="s">
        <v>397</v>
      </c>
      <c r="W347" s="2"/>
      <c r="X347" s="4"/>
    </row>
    <row r="348" spans="1:24" x14ac:dyDescent="0.25">
      <c r="A348" s="1" t="s">
        <v>371</v>
      </c>
      <c r="B348" s="4"/>
      <c r="C348" s="5" t="s">
        <v>400</v>
      </c>
      <c r="D348" s="12">
        <v>3</v>
      </c>
      <c r="E348" s="2" t="s">
        <v>380</v>
      </c>
      <c r="F348" s="4" t="s">
        <v>27</v>
      </c>
      <c r="G348" s="4" t="s">
        <v>27</v>
      </c>
      <c r="H348" s="7">
        <v>36625</v>
      </c>
      <c r="I348" s="21">
        <f t="shared" ca="1" si="29"/>
        <v>26</v>
      </c>
      <c r="J348" s="8"/>
      <c r="K348" s="8">
        <v>0</v>
      </c>
      <c r="L348" s="8">
        <v>55000</v>
      </c>
      <c r="M348" s="8">
        <f>(Table2[[#This Row],[Salary/
Week]]*52)</f>
        <v>2860000</v>
      </c>
      <c r="N348" s="9">
        <v>45816</v>
      </c>
      <c r="O348" s="10">
        <v>48395</v>
      </c>
      <c r="P348" s="4">
        <f t="shared" ca="1" si="30"/>
        <v>1</v>
      </c>
      <c r="Q348" s="4">
        <f t="shared" ca="1" si="31"/>
        <v>5</v>
      </c>
      <c r="R348" s="4">
        <f t="shared" ca="1" si="32"/>
        <v>69</v>
      </c>
      <c r="S348" s="4"/>
      <c r="T348" s="4"/>
      <c r="U348" s="4"/>
      <c r="V348" s="4" t="s">
        <v>397</v>
      </c>
      <c r="W348" s="2"/>
      <c r="X348" s="4"/>
    </row>
    <row r="349" spans="1:24" x14ac:dyDescent="0.25">
      <c r="A349" s="1" t="s">
        <v>371</v>
      </c>
      <c r="B349" s="4"/>
      <c r="C349" s="5" t="s">
        <v>401</v>
      </c>
      <c r="D349" s="12">
        <v>2</v>
      </c>
      <c r="E349" s="2" t="s">
        <v>381</v>
      </c>
      <c r="F349" s="4" t="s">
        <v>27</v>
      </c>
      <c r="G349" s="4" t="s">
        <v>27</v>
      </c>
      <c r="H349" s="7">
        <v>37972</v>
      </c>
      <c r="I349" s="21">
        <f t="shared" ca="1" si="29"/>
        <v>22</v>
      </c>
      <c r="J349" s="8"/>
      <c r="K349" s="8">
        <v>0</v>
      </c>
      <c r="L349" s="8">
        <v>21000</v>
      </c>
      <c r="M349" s="8">
        <f>(Table2[[#This Row],[Salary/
Week]]*52)</f>
        <v>1092000</v>
      </c>
      <c r="N349" s="9">
        <v>45478</v>
      </c>
      <c r="O349" s="10">
        <v>48395</v>
      </c>
      <c r="P349" s="4">
        <f t="shared" ca="1" si="30"/>
        <v>2</v>
      </c>
      <c r="Q349" s="4">
        <f t="shared" ca="1" si="31"/>
        <v>5</v>
      </c>
      <c r="R349" s="4">
        <f t="shared" ca="1" si="32"/>
        <v>69</v>
      </c>
      <c r="S349" s="4"/>
      <c r="T349" s="4"/>
      <c r="U349" s="4"/>
      <c r="V349" s="4" t="s">
        <v>397</v>
      </c>
      <c r="W349" s="2"/>
      <c r="X349" s="4"/>
    </row>
    <row r="350" spans="1:24" x14ac:dyDescent="0.25">
      <c r="A350" s="1" t="s">
        <v>371</v>
      </c>
      <c r="B350" s="4" t="s">
        <v>47</v>
      </c>
      <c r="C350" s="5" t="s">
        <v>400</v>
      </c>
      <c r="D350" s="12">
        <v>8</v>
      </c>
      <c r="E350" s="2" t="s">
        <v>382</v>
      </c>
      <c r="F350" s="4" t="s">
        <v>28</v>
      </c>
      <c r="G350" s="4" t="s">
        <v>29</v>
      </c>
      <c r="H350" s="7">
        <v>35580</v>
      </c>
      <c r="I350" s="21">
        <f t="shared" ca="1" si="29"/>
        <v>29</v>
      </c>
      <c r="J350" s="8">
        <v>0</v>
      </c>
      <c r="K350" s="8">
        <v>35000000</v>
      </c>
      <c r="L350" s="8">
        <v>39560</v>
      </c>
      <c r="M350" s="8">
        <f>(Table2[[#This Row],[Salary/
Week]]*52)</f>
        <v>2057120</v>
      </c>
      <c r="N350" s="9">
        <v>45879</v>
      </c>
      <c r="O350" s="10">
        <v>46934</v>
      </c>
      <c r="P350" s="4">
        <f t="shared" ca="1" si="30"/>
        <v>1</v>
      </c>
      <c r="Q350" s="4">
        <f t="shared" ca="1" si="31"/>
        <v>1</v>
      </c>
      <c r="R350" s="4">
        <f t="shared" ca="1" si="32"/>
        <v>21</v>
      </c>
      <c r="S350" s="4"/>
      <c r="T350" s="4"/>
      <c r="U350" s="4"/>
      <c r="V350" s="4" t="s">
        <v>398</v>
      </c>
      <c r="W350" s="2"/>
      <c r="X350" s="4"/>
    </row>
    <row r="351" spans="1:24" x14ac:dyDescent="0.25">
      <c r="A351" s="1" t="s">
        <v>371</v>
      </c>
      <c r="B351" s="4"/>
      <c r="C351" s="5" t="s">
        <v>401</v>
      </c>
      <c r="D351" s="12">
        <v>44</v>
      </c>
      <c r="E351" s="2" t="s">
        <v>383</v>
      </c>
      <c r="F351" s="4" t="s">
        <v>28</v>
      </c>
      <c r="G351" s="4" t="s">
        <v>28</v>
      </c>
      <c r="H351" s="7">
        <v>37481</v>
      </c>
      <c r="I351" s="21">
        <f t="shared" ca="1" si="29"/>
        <v>24</v>
      </c>
      <c r="J351" s="8"/>
      <c r="K351" s="8">
        <v>12000000</v>
      </c>
      <c r="L351" s="8">
        <v>13500</v>
      </c>
      <c r="M351" s="8">
        <f>(Table2[[#This Row],[Salary/
Week]]*52)</f>
        <v>702000</v>
      </c>
      <c r="N351" s="9">
        <v>44396</v>
      </c>
      <c r="O351" s="10">
        <v>46934</v>
      </c>
      <c r="P351" s="4">
        <f t="shared" ca="1" si="30"/>
        <v>5</v>
      </c>
      <c r="Q351" s="4">
        <f t="shared" ca="1" si="31"/>
        <v>1</v>
      </c>
      <c r="R351" s="4">
        <f t="shared" ca="1" si="32"/>
        <v>21</v>
      </c>
      <c r="S351" s="4"/>
      <c r="T351" s="4"/>
      <c r="U351" s="4"/>
      <c r="V351" s="4" t="s">
        <v>397</v>
      </c>
      <c r="W351" s="2"/>
      <c r="X351" s="4"/>
    </row>
    <row r="352" spans="1:24" x14ac:dyDescent="0.25">
      <c r="A352" s="1" t="s">
        <v>371</v>
      </c>
      <c r="B352" s="4"/>
      <c r="C352" s="5" t="s">
        <v>400</v>
      </c>
      <c r="D352" s="12">
        <v>38</v>
      </c>
      <c r="E352" s="2" t="s">
        <v>384</v>
      </c>
      <c r="F352" s="4" t="s">
        <v>29</v>
      </c>
      <c r="G352" s="4" t="s">
        <v>29</v>
      </c>
      <c r="H352" s="7">
        <v>37482</v>
      </c>
      <c r="I352" s="21">
        <f t="shared" ca="1" si="29"/>
        <v>24</v>
      </c>
      <c r="J352" s="8"/>
      <c r="K352" s="8">
        <v>35000000</v>
      </c>
      <c r="L352" s="8">
        <v>45000</v>
      </c>
      <c r="M352" s="8">
        <f>(Table2[[#This Row],[Salary/
Week]]*52)</f>
        <v>2340000</v>
      </c>
      <c r="N352" s="9">
        <v>44768</v>
      </c>
      <c r="O352" s="10">
        <v>47664</v>
      </c>
      <c r="P352" s="4">
        <f t="shared" ca="1" si="30"/>
        <v>4</v>
      </c>
      <c r="Q352" s="4">
        <f t="shared" ca="1" si="31"/>
        <v>3</v>
      </c>
      <c r="R352" s="4">
        <f t="shared" ca="1" si="32"/>
        <v>45</v>
      </c>
      <c r="S352" s="4"/>
      <c r="T352" s="4"/>
      <c r="U352" s="4"/>
      <c r="V352" s="4" t="s">
        <v>397</v>
      </c>
      <c r="W352" s="2"/>
      <c r="X352" s="4"/>
    </row>
    <row r="353" spans="1:24" x14ac:dyDescent="0.25">
      <c r="A353" s="1" t="s">
        <v>371</v>
      </c>
      <c r="B353" s="4"/>
      <c r="C353" s="5" t="s">
        <v>401</v>
      </c>
      <c r="D353" s="12">
        <v>30</v>
      </c>
      <c r="E353" s="2" t="s">
        <v>385</v>
      </c>
      <c r="F353" s="4" t="s">
        <v>29</v>
      </c>
      <c r="G353" s="4" t="s">
        <v>29</v>
      </c>
      <c r="H353" s="7">
        <v>37079</v>
      </c>
      <c r="I353" s="21">
        <f t="shared" ca="1" si="29"/>
        <v>25</v>
      </c>
      <c r="J353" s="8"/>
      <c r="K353" s="8">
        <v>8000000</v>
      </c>
      <c r="L353" s="8">
        <v>42000</v>
      </c>
      <c r="M353" s="8">
        <f>(Table2[[#This Row],[Salary/
Week]]*52)</f>
        <v>2184000</v>
      </c>
      <c r="N353" s="9">
        <v>44405</v>
      </c>
      <c r="O353" s="10">
        <v>47299</v>
      </c>
      <c r="P353" s="4">
        <f t="shared" ca="1" si="30"/>
        <v>5</v>
      </c>
      <c r="Q353" s="4">
        <f t="shared" ca="1" si="31"/>
        <v>2</v>
      </c>
      <c r="R353" s="4">
        <f t="shared" ca="1" si="32"/>
        <v>33</v>
      </c>
      <c r="S353" s="4"/>
      <c r="T353" s="4"/>
      <c r="U353" s="4"/>
      <c r="V353" s="4" t="s">
        <v>397</v>
      </c>
      <c r="W353" s="2"/>
      <c r="X353" s="4"/>
    </row>
    <row r="354" spans="1:24" x14ac:dyDescent="0.25">
      <c r="A354" s="1" t="s">
        <v>371</v>
      </c>
      <c r="B354" s="4"/>
      <c r="C354" s="5" t="s">
        <v>401</v>
      </c>
      <c r="D354" s="12">
        <v>12</v>
      </c>
      <c r="E354" s="2" t="s">
        <v>386</v>
      </c>
      <c r="F354" s="4" t="s">
        <v>29</v>
      </c>
      <c r="G354" s="4" t="s">
        <v>29</v>
      </c>
      <c r="H354" s="7">
        <v>36788</v>
      </c>
      <c r="I354" s="21">
        <f t="shared" ca="1" si="29"/>
        <v>25</v>
      </c>
      <c r="J354" s="8"/>
      <c r="K354" s="8">
        <v>10000000</v>
      </c>
      <c r="L354" s="8">
        <v>27000</v>
      </c>
      <c r="M354" s="8">
        <f>(Table2[[#This Row],[Salary/
Week]]*52)</f>
        <v>1404000</v>
      </c>
      <c r="N354" s="9">
        <v>44422</v>
      </c>
      <c r="O354" s="10">
        <v>46568</v>
      </c>
      <c r="P354" s="4">
        <f t="shared" ca="1" si="30"/>
        <v>5</v>
      </c>
      <c r="Q354" s="4">
        <f t="shared" ca="1" si="31"/>
        <v>0</v>
      </c>
      <c r="R354" s="4">
        <f t="shared" ca="1" si="32"/>
        <v>9</v>
      </c>
      <c r="S354" s="4"/>
      <c r="T354" s="4"/>
      <c r="U354" s="4"/>
      <c r="V354" s="4" t="s">
        <v>397</v>
      </c>
      <c r="W354" s="2"/>
      <c r="X354" s="4"/>
    </row>
    <row r="355" spans="1:24" x14ac:dyDescent="0.25">
      <c r="A355" s="1" t="s">
        <v>371</v>
      </c>
      <c r="B355" s="4"/>
      <c r="C355" s="5" t="s">
        <v>400</v>
      </c>
      <c r="D355" s="12">
        <v>20</v>
      </c>
      <c r="E355" s="2" t="s">
        <v>387</v>
      </c>
      <c r="F355" s="4" t="s">
        <v>30</v>
      </c>
      <c r="G355" s="4" t="s">
        <v>30</v>
      </c>
      <c r="H355" s="7">
        <v>36079</v>
      </c>
      <c r="I355" s="21">
        <f t="shared" ca="1" si="29"/>
        <v>27</v>
      </c>
      <c r="J355" s="8"/>
      <c r="K355" s="8">
        <v>0</v>
      </c>
      <c r="L355" s="8">
        <v>56000</v>
      </c>
      <c r="M355" s="8">
        <f>(Table2[[#This Row],[Salary/
Week]]*52)</f>
        <v>2912000</v>
      </c>
      <c r="N355" s="9">
        <v>44735</v>
      </c>
      <c r="O355" s="10">
        <v>47664</v>
      </c>
      <c r="P355" s="4">
        <f t="shared" ca="1" si="30"/>
        <v>4</v>
      </c>
      <c r="Q355" s="4">
        <f t="shared" ca="1" si="31"/>
        <v>3</v>
      </c>
      <c r="R355" s="4">
        <f t="shared" ca="1" si="32"/>
        <v>45</v>
      </c>
      <c r="S355" s="4"/>
      <c r="T355" s="4"/>
      <c r="U355" s="4"/>
      <c r="V355" s="4" t="s">
        <v>396</v>
      </c>
      <c r="W355" s="2"/>
      <c r="X355" s="4"/>
    </row>
    <row r="356" spans="1:24" x14ac:dyDescent="0.25">
      <c r="A356" s="1" t="s">
        <v>371</v>
      </c>
      <c r="B356" s="4"/>
      <c r="C356" s="5" t="s">
        <v>401</v>
      </c>
      <c r="D356" s="12">
        <v>29</v>
      </c>
      <c r="E356" s="2" t="s">
        <v>388</v>
      </c>
      <c r="F356" s="4" t="s">
        <v>30</v>
      </c>
      <c r="G356" s="4" t="s">
        <v>30</v>
      </c>
      <c r="H356" s="7">
        <v>37644</v>
      </c>
      <c r="I356" s="21">
        <f t="shared" ca="1" si="29"/>
        <v>23</v>
      </c>
      <c r="J356" s="8"/>
      <c r="K356" s="8">
        <v>6000000</v>
      </c>
      <c r="L356" s="8">
        <v>17000</v>
      </c>
      <c r="M356" s="8">
        <f>(Table2[[#This Row],[Salary/
Week]]*52)</f>
        <v>884000</v>
      </c>
      <c r="N356" s="9">
        <v>45892</v>
      </c>
      <c r="O356" s="10">
        <v>48029</v>
      </c>
      <c r="P356" s="4">
        <f t="shared" ca="1" si="30"/>
        <v>1</v>
      </c>
      <c r="Q356" s="4">
        <f t="shared" ca="1" si="31"/>
        <v>4</v>
      </c>
      <c r="R356" s="4">
        <f t="shared" ca="1" si="32"/>
        <v>57</v>
      </c>
      <c r="S356" s="4"/>
      <c r="T356" s="4"/>
      <c r="U356" s="4"/>
      <c r="V356" s="4" t="s">
        <v>397</v>
      </c>
      <c r="W356" s="2"/>
      <c r="X356" s="4"/>
    </row>
    <row r="357" spans="1:24" x14ac:dyDescent="0.25">
      <c r="A357" s="1" t="s">
        <v>371</v>
      </c>
      <c r="B357" s="4"/>
      <c r="C357" s="5" t="s">
        <v>400</v>
      </c>
      <c r="D357" s="12">
        <v>10</v>
      </c>
      <c r="E357" s="2" t="s">
        <v>109</v>
      </c>
      <c r="F357" s="4" t="s">
        <v>32</v>
      </c>
      <c r="G357" s="4" t="s">
        <v>32</v>
      </c>
      <c r="H357" s="7">
        <v>35673</v>
      </c>
      <c r="I357" s="21">
        <f ca="1">DATEDIF(H357,TODAY(),"Y")</f>
        <v>29</v>
      </c>
      <c r="J357" s="8"/>
      <c r="K357" s="8">
        <v>45000000</v>
      </c>
      <c r="L357" s="8">
        <v>80000</v>
      </c>
      <c r="M357" s="8">
        <f>(Table2[[#This Row],[Salary/
Week]]*52)</f>
        <v>4160000</v>
      </c>
      <c r="N357" s="9">
        <v>46228</v>
      </c>
      <c r="O357" s="10">
        <v>48395</v>
      </c>
      <c r="P357" s="4">
        <f ca="1">DATEDIF(N357,TODAY(),"Y")</f>
        <v>0</v>
      </c>
      <c r="Q357" s="4">
        <f ca="1">DATEDIF(TODAY(),O357,"y")</f>
        <v>5</v>
      </c>
      <c r="R357" s="4">
        <f ca="1">DATEDIF(TODAY(),O357,"m")</f>
        <v>69</v>
      </c>
      <c r="S357" s="4"/>
      <c r="T357" s="4"/>
      <c r="U357" s="4"/>
      <c r="V357" s="4" t="s">
        <v>397</v>
      </c>
      <c r="W357" s="2"/>
      <c r="X357" s="4"/>
    </row>
    <row r="358" spans="1:24" x14ac:dyDescent="0.25">
      <c r="A358" s="1" t="s">
        <v>371</v>
      </c>
      <c r="B358" s="4"/>
      <c r="C358" s="5" t="s">
        <v>401</v>
      </c>
      <c r="D358" s="12">
        <v>11</v>
      </c>
      <c r="E358" s="2" t="s">
        <v>389</v>
      </c>
      <c r="F358" s="4" t="s">
        <v>32</v>
      </c>
      <c r="G358" s="4" t="s">
        <v>32</v>
      </c>
      <c r="H358" s="7">
        <v>36266</v>
      </c>
      <c r="I358" s="21">
        <f t="shared" ca="1" si="29"/>
        <v>27</v>
      </c>
      <c r="J358" s="8"/>
      <c r="K358" s="8">
        <v>9000000</v>
      </c>
      <c r="L358" s="8">
        <v>19000</v>
      </c>
      <c r="M358" s="8">
        <f>(Table2[[#This Row],[Salary/
Week]]*52)</f>
        <v>988000</v>
      </c>
      <c r="N358" s="9">
        <v>44804</v>
      </c>
      <c r="O358" s="10">
        <v>46934</v>
      </c>
      <c r="P358" s="4">
        <f t="shared" ca="1" si="30"/>
        <v>4</v>
      </c>
      <c r="Q358" s="4">
        <f t="shared" ca="1" si="31"/>
        <v>1</v>
      </c>
      <c r="R358" s="4">
        <f t="shared" ca="1" si="32"/>
        <v>21</v>
      </c>
      <c r="S358" s="4"/>
      <c r="T358" s="4"/>
      <c r="U358" s="4"/>
      <c r="V358" s="4" t="s">
        <v>397</v>
      </c>
      <c r="W358" s="2"/>
      <c r="X358" s="4"/>
    </row>
    <row r="359" spans="1:24" x14ac:dyDescent="0.25">
      <c r="A359" s="1" t="s">
        <v>371</v>
      </c>
      <c r="B359" s="4"/>
      <c r="C359" s="5" t="s">
        <v>401</v>
      </c>
      <c r="D359" s="12">
        <v>23</v>
      </c>
      <c r="E359" s="2" t="s">
        <v>390</v>
      </c>
      <c r="F359" s="4" t="s">
        <v>32</v>
      </c>
      <c r="G359" s="4" t="s">
        <v>32</v>
      </c>
      <c r="H359" s="7">
        <v>37598</v>
      </c>
      <c r="I359" s="21">
        <f t="shared" ca="1" si="29"/>
        <v>23</v>
      </c>
      <c r="J359" s="8"/>
      <c r="K359" s="8">
        <v>2000000</v>
      </c>
      <c r="L359" s="8">
        <v>38000</v>
      </c>
      <c r="M359" s="8">
        <f>(Table2[[#This Row],[Salary/
Week]]*52)</f>
        <v>1976000</v>
      </c>
      <c r="N359" s="9">
        <v>45862</v>
      </c>
      <c r="O359" s="10">
        <v>48760</v>
      </c>
      <c r="P359" s="4">
        <f t="shared" ca="1" si="30"/>
        <v>1</v>
      </c>
      <c r="Q359" s="4">
        <f t="shared" ca="1" si="31"/>
        <v>6</v>
      </c>
      <c r="R359" s="4">
        <f t="shared" ca="1" si="32"/>
        <v>81</v>
      </c>
      <c r="S359" s="4"/>
      <c r="T359" s="4"/>
      <c r="U359" s="4"/>
      <c r="V359" s="4" t="s">
        <v>397</v>
      </c>
      <c r="W359" s="2"/>
      <c r="X359" s="4"/>
    </row>
    <row r="360" spans="1:24" x14ac:dyDescent="0.25">
      <c r="A360" s="1" t="s">
        <v>371</v>
      </c>
      <c r="B360" s="4" t="s">
        <v>57</v>
      </c>
      <c r="C360" s="5" t="s">
        <v>400</v>
      </c>
      <c r="D360" s="12">
        <v>9</v>
      </c>
      <c r="E360" s="2" t="s">
        <v>391</v>
      </c>
      <c r="F360" s="4" t="s">
        <v>31</v>
      </c>
      <c r="G360" s="4" t="s">
        <v>31</v>
      </c>
      <c r="H360" s="7">
        <v>35847</v>
      </c>
      <c r="I360" s="21">
        <f t="shared" ca="1" si="29"/>
        <v>28</v>
      </c>
      <c r="J360" s="8"/>
      <c r="K360" s="8">
        <v>25000000</v>
      </c>
      <c r="L360" s="8">
        <v>57000</v>
      </c>
      <c r="M360" s="8">
        <f>(Table2[[#This Row],[Salary/
Week]]*52)</f>
        <v>2964000</v>
      </c>
      <c r="N360" s="9">
        <v>44406</v>
      </c>
      <c r="O360" s="10">
        <v>48395</v>
      </c>
      <c r="P360" s="4">
        <f t="shared" ca="1" si="30"/>
        <v>5</v>
      </c>
      <c r="Q360" s="4">
        <f t="shared" ca="1" si="31"/>
        <v>5</v>
      </c>
      <c r="R360" s="4">
        <f t="shared" ca="1" si="32"/>
        <v>69</v>
      </c>
      <c r="S360" s="4"/>
      <c r="T360" s="4"/>
      <c r="U360" s="4"/>
      <c r="V360" s="4" t="s">
        <v>397</v>
      </c>
      <c r="W360" s="2"/>
      <c r="X360" s="4"/>
    </row>
    <row r="361" spans="1:24" x14ac:dyDescent="0.25">
      <c r="A361" s="1" t="s">
        <v>371</v>
      </c>
      <c r="B361" s="4"/>
      <c r="C361" s="5" t="s">
        <v>401</v>
      </c>
      <c r="D361" s="12">
        <v>63</v>
      </c>
      <c r="E361" s="2" t="s">
        <v>392</v>
      </c>
      <c r="F361" s="4" t="s">
        <v>31</v>
      </c>
      <c r="G361" s="4" t="s">
        <v>31</v>
      </c>
      <c r="H361" s="7">
        <v>37025</v>
      </c>
      <c r="I361" s="21">
        <f t="shared" ca="1" si="29"/>
        <v>25</v>
      </c>
      <c r="J361" s="8"/>
      <c r="K361" s="8">
        <v>6000000</v>
      </c>
      <c r="L361" s="8">
        <v>6200</v>
      </c>
      <c r="M361" s="8">
        <f>(Table2[[#This Row],[Salary/
Week]]*52)</f>
        <v>322400</v>
      </c>
      <c r="N361" s="9">
        <v>44418</v>
      </c>
      <c r="O361" s="10">
        <v>46934</v>
      </c>
      <c r="P361" s="4">
        <f t="shared" ca="1" si="30"/>
        <v>5</v>
      </c>
      <c r="Q361" s="4">
        <f t="shared" ca="1" si="31"/>
        <v>1</v>
      </c>
      <c r="R361" s="4">
        <f t="shared" ca="1" si="32"/>
        <v>21</v>
      </c>
      <c r="S361" s="4"/>
      <c r="T361" s="4"/>
      <c r="U361" s="4"/>
      <c r="V361" s="4" t="s">
        <v>397</v>
      </c>
      <c r="W361" s="2"/>
      <c r="X361" s="4"/>
    </row>
    <row r="362" spans="1:24" x14ac:dyDescent="0.25">
      <c r="A362" s="1" t="s">
        <v>371</v>
      </c>
      <c r="B362" s="4"/>
      <c r="C362" s="5" t="s">
        <v>400</v>
      </c>
      <c r="D362" s="12">
        <v>7</v>
      </c>
      <c r="E362" s="2" t="s">
        <v>394</v>
      </c>
      <c r="F362" s="4" t="s">
        <v>35</v>
      </c>
      <c r="G362" s="4" t="s">
        <v>35</v>
      </c>
      <c r="H362" s="7">
        <v>36734</v>
      </c>
      <c r="I362" s="21">
        <f t="shared" ca="1" si="29"/>
        <v>26</v>
      </c>
      <c r="J362" s="8"/>
      <c r="K362" s="8">
        <v>14500000</v>
      </c>
      <c r="L362" s="8">
        <v>18000</v>
      </c>
      <c r="M362" s="8">
        <f>(Table2[[#This Row],[Salary/
Week]]*52)</f>
        <v>936000</v>
      </c>
      <c r="N362" s="9">
        <v>45149</v>
      </c>
      <c r="O362" s="10">
        <v>48029</v>
      </c>
      <c r="P362" s="4">
        <f t="shared" ca="1" si="30"/>
        <v>3</v>
      </c>
      <c r="Q362" s="4">
        <f t="shared" ca="1" si="31"/>
        <v>4</v>
      </c>
      <c r="R362" s="4">
        <f t="shared" ca="1" si="32"/>
        <v>57</v>
      </c>
      <c r="S362" s="4"/>
      <c r="T362" s="4"/>
      <c r="U362" s="4"/>
      <c r="V362" s="4" t="s">
        <v>396</v>
      </c>
      <c r="W362" s="2"/>
      <c r="X362" s="4"/>
    </row>
    <row r="363" spans="1:24" x14ac:dyDescent="0.25">
      <c r="A363" s="1" t="s">
        <v>371</v>
      </c>
      <c r="B363" s="4"/>
      <c r="C363" s="5" t="s">
        <v>401</v>
      </c>
      <c r="D363" s="12">
        <v>35</v>
      </c>
      <c r="E363" s="2" t="s">
        <v>395</v>
      </c>
      <c r="F363" s="4" t="s">
        <v>35</v>
      </c>
      <c r="G363" s="4" t="s">
        <v>35</v>
      </c>
      <c r="H363" s="7">
        <v>37928</v>
      </c>
      <c r="I363" s="21">
        <f t="shared" ca="1" si="29"/>
        <v>22</v>
      </c>
      <c r="J363" s="8"/>
      <c r="K363" s="8">
        <v>0</v>
      </c>
      <c r="L363" s="8">
        <v>9000</v>
      </c>
      <c r="M363" s="8">
        <f>(Table2[[#This Row],[Salary/
Week]]*52)</f>
        <v>468000</v>
      </c>
      <c r="N363" s="9">
        <v>44405</v>
      </c>
      <c r="O363" s="10">
        <v>46934</v>
      </c>
      <c r="P363" s="4">
        <f t="shared" ca="1" si="30"/>
        <v>5</v>
      </c>
      <c r="Q363" s="4">
        <f t="shared" ca="1" si="31"/>
        <v>1</v>
      </c>
      <c r="R363" s="4">
        <f t="shared" ca="1" si="32"/>
        <v>21</v>
      </c>
      <c r="S363" s="4"/>
      <c r="T363" s="4"/>
      <c r="U363" s="4"/>
      <c r="V363" s="4" t="s">
        <v>397</v>
      </c>
      <c r="W363" s="2"/>
      <c r="X363" s="4"/>
    </row>
    <row r="364" spans="1:24" x14ac:dyDescent="0.25">
      <c r="A364" s="1" t="s">
        <v>556</v>
      </c>
      <c r="B364" s="4"/>
      <c r="C364" s="5" t="s">
        <v>400</v>
      </c>
      <c r="D364" s="12">
        <v>1</v>
      </c>
      <c r="E364" s="2" t="s">
        <v>558</v>
      </c>
      <c r="F364" s="4" t="s">
        <v>23</v>
      </c>
      <c r="G364" s="4" t="s">
        <v>23</v>
      </c>
      <c r="H364" s="7">
        <v>36735</v>
      </c>
      <c r="I364" s="21">
        <f ca="1">DATEDIF(H364,TODAY(),"Y")</f>
        <v>26</v>
      </c>
      <c r="J364" s="8">
        <v>0</v>
      </c>
      <c r="K364" s="8">
        <v>12000000</v>
      </c>
      <c r="L364" s="8">
        <v>25000</v>
      </c>
      <c r="M364" s="8">
        <f>(Table2[[#This Row],[Salary/
Week]]*52)</f>
        <v>1300000</v>
      </c>
      <c r="N364" s="9">
        <v>45807</v>
      </c>
      <c r="O364" s="10">
        <v>47299</v>
      </c>
      <c r="P364" s="4">
        <f ca="1">DATEDIF(N364,TODAY(),"Y")</f>
        <v>1</v>
      </c>
      <c r="Q364" s="4">
        <f ca="1">DATEDIF(TODAY(),O364,"y")</f>
        <v>2</v>
      </c>
      <c r="R364" s="4">
        <f ca="1">DATEDIF(TODAY(),O364,"m")</f>
        <v>33</v>
      </c>
      <c r="S364" s="4"/>
      <c r="T364" s="4"/>
      <c r="U364" s="4"/>
      <c r="V364" s="4" t="s">
        <v>396</v>
      </c>
      <c r="W364" s="2" t="s">
        <v>496</v>
      </c>
      <c r="X364" s="4"/>
    </row>
    <row r="365" spans="1:24" x14ac:dyDescent="0.25">
      <c r="A365" s="1" t="s">
        <v>556</v>
      </c>
      <c r="B365" s="4"/>
      <c r="C365" s="5" t="s">
        <v>401</v>
      </c>
      <c r="D365" s="12">
        <v>29</v>
      </c>
      <c r="E365" s="2" t="s">
        <v>559</v>
      </c>
      <c r="F365" s="4" t="s">
        <v>23</v>
      </c>
      <c r="G365" s="4" t="s">
        <v>23</v>
      </c>
      <c r="H365" s="7">
        <v>38253</v>
      </c>
      <c r="I365" s="21">
        <f t="shared" ref="I365:I386" ca="1" si="33">DATEDIF(H365,TODAY(),"Y")</f>
        <v>21</v>
      </c>
      <c r="J365" s="8">
        <v>10000</v>
      </c>
      <c r="K365" s="8">
        <v>0</v>
      </c>
      <c r="L365" s="8">
        <v>15000</v>
      </c>
      <c r="M365" s="8">
        <f>(Table2[[#This Row],[Salary/
Week]]*52)</f>
        <v>780000</v>
      </c>
      <c r="N365" s="9">
        <v>45126</v>
      </c>
      <c r="O365" s="10">
        <v>47664</v>
      </c>
      <c r="P365" s="4">
        <f t="shared" ref="P365:P386" ca="1" si="34">DATEDIF(N365,TODAY(),"Y")</f>
        <v>3</v>
      </c>
      <c r="Q365" s="4">
        <f t="shared" ref="Q365:Q386" ca="1" si="35">DATEDIF(TODAY(),O365,"y")</f>
        <v>3</v>
      </c>
      <c r="R365" s="4">
        <f t="shared" ref="R365:R386" ca="1" si="36">DATEDIF(TODAY(),O365,"m")</f>
        <v>45</v>
      </c>
      <c r="S365" s="4"/>
      <c r="T365" s="4"/>
      <c r="U365" s="4"/>
      <c r="V365" s="4" t="s">
        <v>397</v>
      </c>
      <c r="W365" s="2"/>
      <c r="X365" s="4"/>
    </row>
    <row r="366" spans="1:24" x14ac:dyDescent="0.25">
      <c r="A366" s="1" t="s">
        <v>556</v>
      </c>
      <c r="B366" s="4"/>
      <c r="C366" s="5" t="s">
        <v>400</v>
      </c>
      <c r="D366" s="12">
        <v>3</v>
      </c>
      <c r="E366" s="2" t="s">
        <v>560</v>
      </c>
      <c r="F366" s="4" t="s">
        <v>25</v>
      </c>
      <c r="G366" s="4" t="s">
        <v>25</v>
      </c>
      <c r="H366" s="7">
        <v>37650</v>
      </c>
      <c r="I366" s="21">
        <f t="shared" ca="1" si="33"/>
        <v>23</v>
      </c>
      <c r="J366" s="8">
        <v>8000</v>
      </c>
      <c r="K366" s="8">
        <v>9000000</v>
      </c>
      <c r="L366" s="8">
        <v>17000</v>
      </c>
      <c r="M366" s="8">
        <f>(Table2[[#This Row],[Salary/
Week]]*52)</f>
        <v>884000</v>
      </c>
      <c r="N366" s="9">
        <v>45889</v>
      </c>
      <c r="O366" s="10">
        <v>48395</v>
      </c>
      <c r="P366" s="4">
        <f t="shared" ca="1" si="34"/>
        <v>1</v>
      </c>
      <c r="Q366" s="4">
        <f t="shared" ca="1" si="35"/>
        <v>5</v>
      </c>
      <c r="R366" s="4">
        <f t="shared" ca="1" si="36"/>
        <v>69</v>
      </c>
      <c r="S366" s="4"/>
      <c r="T366" s="4"/>
      <c r="U366" s="4"/>
      <c r="V366" s="4" t="s">
        <v>396</v>
      </c>
      <c r="W366" s="2"/>
      <c r="X366" s="4"/>
    </row>
    <row r="367" spans="1:24" x14ac:dyDescent="0.25">
      <c r="A367" s="1" t="s">
        <v>556</v>
      </c>
      <c r="B367" s="4"/>
      <c r="C367" s="5" t="s">
        <v>401</v>
      </c>
      <c r="D367" s="12">
        <v>16</v>
      </c>
      <c r="E367" s="2" t="s">
        <v>561</v>
      </c>
      <c r="F367" s="4" t="s">
        <v>25</v>
      </c>
      <c r="G367" s="4" t="s">
        <v>25</v>
      </c>
      <c r="H367" s="7">
        <v>37648</v>
      </c>
      <c r="I367" s="21">
        <f t="shared" ca="1" si="33"/>
        <v>23</v>
      </c>
      <c r="J367" s="8">
        <v>900000</v>
      </c>
      <c r="K367" s="8">
        <v>17000000</v>
      </c>
      <c r="L367" s="8">
        <v>8000</v>
      </c>
      <c r="M367" s="8">
        <f>(Table2[[#This Row],[Salary/
Week]]*52)</f>
        <v>416000</v>
      </c>
      <c r="N367" s="9">
        <v>46246</v>
      </c>
      <c r="O367" s="10">
        <v>48760</v>
      </c>
      <c r="P367" s="4">
        <f t="shared" ca="1" si="34"/>
        <v>0</v>
      </c>
      <c r="Q367" s="4">
        <f t="shared" ca="1" si="35"/>
        <v>6</v>
      </c>
      <c r="R367" s="4">
        <f t="shared" ca="1" si="36"/>
        <v>81</v>
      </c>
      <c r="S367" s="4"/>
      <c r="T367" s="4"/>
      <c r="U367" s="4"/>
      <c r="V367" s="4" t="s">
        <v>396</v>
      </c>
      <c r="W367" s="2"/>
      <c r="X367" s="4"/>
    </row>
    <row r="368" spans="1:24" x14ac:dyDescent="0.25">
      <c r="A368" s="1" t="s">
        <v>556</v>
      </c>
      <c r="B368" s="4"/>
      <c r="C368" s="5" t="s">
        <v>400</v>
      </c>
      <c r="D368" s="12">
        <v>4</v>
      </c>
      <c r="E368" s="2" t="s">
        <v>581</v>
      </c>
      <c r="F368" s="4" t="s">
        <v>26</v>
      </c>
      <c r="G368" s="4" t="s">
        <v>26</v>
      </c>
      <c r="H368" s="7">
        <v>36616</v>
      </c>
      <c r="I368" s="21">
        <f t="shared" ca="1" si="33"/>
        <v>26</v>
      </c>
      <c r="J368" s="8">
        <v>0</v>
      </c>
      <c r="K368" s="8">
        <v>0</v>
      </c>
      <c r="L368" s="8">
        <v>29000</v>
      </c>
      <c r="M368" s="8">
        <f>(Table2[[#This Row],[Salary/
Week]]*52)</f>
        <v>1508000</v>
      </c>
      <c r="N368" s="9">
        <v>46236</v>
      </c>
      <c r="O368" s="10">
        <v>47664</v>
      </c>
      <c r="P368" s="4">
        <f t="shared" ca="1" si="34"/>
        <v>0</v>
      </c>
      <c r="Q368" s="4">
        <f t="shared" ca="1" si="35"/>
        <v>3</v>
      </c>
      <c r="R368" s="4">
        <f t="shared" ca="1" si="36"/>
        <v>45</v>
      </c>
      <c r="S368" s="4"/>
      <c r="T368" s="4"/>
      <c r="U368" s="4"/>
      <c r="V368" s="4" t="s">
        <v>397</v>
      </c>
      <c r="W368" s="2"/>
      <c r="X368" s="4"/>
    </row>
    <row r="369" spans="1:24" x14ac:dyDescent="0.25">
      <c r="A369" s="1" t="s">
        <v>556</v>
      </c>
      <c r="B369" s="4"/>
      <c r="C369" s="5" t="s">
        <v>401</v>
      </c>
      <c r="D369" s="12">
        <v>23</v>
      </c>
      <c r="E369" s="2" t="s">
        <v>562</v>
      </c>
      <c r="F369" s="4" t="s">
        <v>26</v>
      </c>
      <c r="G369" s="4" t="s">
        <v>26</v>
      </c>
      <c r="H369" s="7">
        <v>37762</v>
      </c>
      <c r="I369" s="21">
        <f t="shared" ca="1" si="33"/>
        <v>23</v>
      </c>
      <c r="J369" s="8">
        <v>150000</v>
      </c>
      <c r="K369" s="8">
        <v>1800000</v>
      </c>
      <c r="L369" s="8">
        <v>30000</v>
      </c>
      <c r="M369" s="8">
        <f>(Table2[[#This Row],[Salary/
Week]]*52)</f>
        <v>1560000</v>
      </c>
      <c r="N369" s="9">
        <v>46235</v>
      </c>
      <c r="O369" s="10">
        <v>48029</v>
      </c>
      <c r="P369" s="4">
        <f t="shared" ca="1" si="34"/>
        <v>0</v>
      </c>
      <c r="Q369" s="4">
        <f t="shared" ca="1" si="35"/>
        <v>4</v>
      </c>
      <c r="R369" s="4">
        <f t="shared" ca="1" si="36"/>
        <v>57</v>
      </c>
      <c r="S369" s="4"/>
      <c r="T369" s="4"/>
      <c r="U369" s="4"/>
      <c r="V369" s="4" t="s">
        <v>397</v>
      </c>
      <c r="W369" s="2"/>
      <c r="X369" s="4"/>
    </row>
    <row r="370" spans="1:24" x14ac:dyDescent="0.25">
      <c r="A370" s="1" t="s">
        <v>556</v>
      </c>
      <c r="B370" s="4"/>
      <c r="C370" s="5" t="s">
        <v>400</v>
      </c>
      <c r="D370" s="12">
        <v>5</v>
      </c>
      <c r="E370" s="2" t="s">
        <v>563</v>
      </c>
      <c r="F370" s="4" t="s">
        <v>26</v>
      </c>
      <c r="G370" s="4" t="s">
        <v>26</v>
      </c>
      <c r="H370" s="7">
        <v>37511</v>
      </c>
      <c r="I370" s="21">
        <f t="shared" ca="1" si="33"/>
        <v>23</v>
      </c>
      <c r="J370" s="8">
        <v>0</v>
      </c>
      <c r="K370" s="8">
        <v>1000000</v>
      </c>
      <c r="L370" s="8">
        <v>41000</v>
      </c>
      <c r="M370" s="8">
        <f>(Table2[[#This Row],[Salary/
Week]]*52)</f>
        <v>2132000</v>
      </c>
      <c r="N370" s="9">
        <v>45485</v>
      </c>
      <c r="O370" s="10">
        <v>47299</v>
      </c>
      <c r="P370" s="4">
        <f t="shared" ca="1" si="34"/>
        <v>2</v>
      </c>
      <c r="Q370" s="4">
        <f t="shared" ca="1" si="35"/>
        <v>2</v>
      </c>
      <c r="R370" s="4">
        <f t="shared" ca="1" si="36"/>
        <v>33</v>
      </c>
      <c r="S370" s="4"/>
      <c r="T370" s="4"/>
      <c r="U370" s="4"/>
      <c r="V370" s="4" t="s">
        <v>397</v>
      </c>
      <c r="W370" s="2"/>
      <c r="X370" s="4"/>
    </row>
    <row r="371" spans="1:24" x14ac:dyDescent="0.25">
      <c r="A371" s="1" t="s">
        <v>556</v>
      </c>
      <c r="B371" s="4"/>
      <c r="C371" s="5" t="s">
        <v>401</v>
      </c>
      <c r="D371" s="12">
        <v>24</v>
      </c>
      <c r="E371" s="2" t="s">
        <v>564</v>
      </c>
      <c r="F371" s="4" t="s">
        <v>26</v>
      </c>
      <c r="G371" s="4" t="s">
        <v>27</v>
      </c>
      <c r="H371" s="7">
        <v>36456</v>
      </c>
      <c r="I371" s="21">
        <f t="shared" ca="1" si="33"/>
        <v>26</v>
      </c>
      <c r="J371" s="8">
        <v>800000</v>
      </c>
      <c r="K371" s="8">
        <v>1700000</v>
      </c>
      <c r="L371" s="8">
        <v>18000</v>
      </c>
      <c r="M371" s="8">
        <f>(Table2[[#This Row],[Salary/
Week]]*52)</f>
        <v>936000</v>
      </c>
      <c r="N371" s="9">
        <v>45900</v>
      </c>
      <c r="O371" s="10">
        <v>47299</v>
      </c>
      <c r="P371" s="4">
        <f t="shared" ca="1" si="34"/>
        <v>1</v>
      </c>
      <c r="Q371" s="4">
        <f t="shared" ca="1" si="35"/>
        <v>2</v>
      </c>
      <c r="R371" s="4">
        <f t="shared" ca="1" si="36"/>
        <v>33</v>
      </c>
      <c r="S371" s="4"/>
      <c r="T371" s="4"/>
      <c r="U371" s="4"/>
      <c r="V371" s="4" t="s">
        <v>397</v>
      </c>
      <c r="W371" s="2"/>
      <c r="X371" s="4"/>
    </row>
    <row r="372" spans="1:24" x14ac:dyDescent="0.25">
      <c r="A372" s="1" t="s">
        <v>556</v>
      </c>
      <c r="B372" s="4"/>
      <c r="C372" s="5" t="s">
        <v>400</v>
      </c>
      <c r="D372" s="12">
        <v>6</v>
      </c>
      <c r="E372" s="2" t="s">
        <v>565</v>
      </c>
      <c r="F372" s="4" t="s">
        <v>27</v>
      </c>
      <c r="G372" s="4" t="s">
        <v>26</v>
      </c>
      <c r="H372" s="7">
        <v>39600</v>
      </c>
      <c r="I372" s="21">
        <f t="shared" ca="1" si="33"/>
        <v>18</v>
      </c>
      <c r="J372" s="8">
        <v>17000000</v>
      </c>
      <c r="K372" s="8">
        <v>17000000</v>
      </c>
      <c r="L372" s="8">
        <v>29000</v>
      </c>
      <c r="M372" s="8">
        <f>(Table2[[#This Row],[Salary/
Week]]*52)</f>
        <v>1508000</v>
      </c>
      <c r="N372" s="9">
        <v>46240</v>
      </c>
      <c r="O372" s="10">
        <v>47664</v>
      </c>
      <c r="P372" s="4">
        <f t="shared" ca="1" si="34"/>
        <v>0</v>
      </c>
      <c r="Q372" s="4">
        <f t="shared" ca="1" si="35"/>
        <v>3</v>
      </c>
      <c r="R372" s="4">
        <f t="shared" ca="1" si="36"/>
        <v>45</v>
      </c>
      <c r="S372" s="4"/>
      <c r="T372" s="4"/>
      <c r="U372" s="4"/>
      <c r="V372" s="4" t="s">
        <v>397</v>
      </c>
      <c r="W372" s="2"/>
      <c r="X372" s="4"/>
    </row>
    <row r="373" spans="1:24" x14ac:dyDescent="0.25">
      <c r="A373" s="1" t="s">
        <v>556</v>
      </c>
      <c r="B373" s="4"/>
      <c r="C373" s="5" t="s">
        <v>401</v>
      </c>
      <c r="D373" s="12">
        <v>19</v>
      </c>
      <c r="E373" s="2" t="s">
        <v>567</v>
      </c>
      <c r="F373" s="4" t="s">
        <v>27</v>
      </c>
      <c r="G373" s="4" t="s">
        <v>27</v>
      </c>
      <c r="H373" s="7">
        <v>37712</v>
      </c>
      <c r="I373" s="21">
        <f t="shared" ca="1" si="33"/>
        <v>23</v>
      </c>
      <c r="J373" s="8">
        <v>100000</v>
      </c>
      <c r="K373" s="8">
        <v>1000000</v>
      </c>
      <c r="L373" s="8">
        <v>25000</v>
      </c>
      <c r="M373" s="8">
        <f>(Table2[[#This Row],[Salary/
Week]]*52)</f>
        <v>1300000</v>
      </c>
      <c r="N373" s="9">
        <v>45879</v>
      </c>
      <c r="O373" s="10">
        <v>47299</v>
      </c>
      <c r="P373" s="4">
        <f t="shared" ca="1" si="34"/>
        <v>1</v>
      </c>
      <c r="Q373" s="4">
        <f t="shared" ca="1" si="35"/>
        <v>2</v>
      </c>
      <c r="R373" s="4">
        <f t="shared" ca="1" si="36"/>
        <v>33</v>
      </c>
      <c r="S373" s="4"/>
      <c r="T373" s="4"/>
      <c r="U373" s="4"/>
      <c r="V373" s="4" t="s">
        <v>397</v>
      </c>
      <c r="W373" s="2"/>
      <c r="X373" s="4"/>
    </row>
    <row r="374" spans="1:24" x14ac:dyDescent="0.25">
      <c r="A374" s="1" t="s">
        <v>556</v>
      </c>
      <c r="B374" s="4" t="s">
        <v>47</v>
      </c>
      <c r="C374" s="5" t="s">
        <v>400</v>
      </c>
      <c r="D374" s="12">
        <v>8</v>
      </c>
      <c r="E374" s="2" t="s">
        <v>582</v>
      </c>
      <c r="F374" s="4" t="s">
        <v>28</v>
      </c>
      <c r="G374" s="4" t="s">
        <v>26</v>
      </c>
      <c r="H374" s="7">
        <v>38332</v>
      </c>
      <c r="I374" s="21">
        <f t="shared" ca="1" si="33"/>
        <v>21</v>
      </c>
      <c r="J374" s="8">
        <v>900000</v>
      </c>
      <c r="K374" s="8">
        <v>8000000</v>
      </c>
      <c r="L374" s="8">
        <v>8000</v>
      </c>
      <c r="M374" s="8">
        <f>(Table2[[#This Row],[Salary/
Week]]*52)</f>
        <v>416000</v>
      </c>
      <c r="N374" s="9">
        <v>46045</v>
      </c>
      <c r="O374" s="10">
        <v>48029</v>
      </c>
      <c r="P374" s="4">
        <f t="shared" ca="1" si="34"/>
        <v>0</v>
      </c>
      <c r="Q374" s="4">
        <f t="shared" ca="1" si="35"/>
        <v>4</v>
      </c>
      <c r="R374" s="4">
        <f t="shared" ca="1" si="36"/>
        <v>57</v>
      </c>
      <c r="S374" s="4"/>
      <c r="T374" s="4"/>
      <c r="U374" s="4"/>
      <c r="V374" s="4" t="s">
        <v>396</v>
      </c>
      <c r="W374" s="2"/>
      <c r="X374" s="4"/>
    </row>
    <row r="375" spans="1:24" x14ac:dyDescent="0.25">
      <c r="A375" s="1" t="s">
        <v>556</v>
      </c>
      <c r="B375" s="4"/>
      <c r="C375" s="5" t="s">
        <v>401</v>
      </c>
      <c r="D375" s="12">
        <v>13</v>
      </c>
      <c r="E375" s="2" t="s">
        <v>568</v>
      </c>
      <c r="F375" s="4" t="s">
        <v>28</v>
      </c>
      <c r="G375" s="4" t="s">
        <v>28</v>
      </c>
      <c r="H375" s="7">
        <v>36831</v>
      </c>
      <c r="I375" s="21">
        <f t="shared" ca="1" si="33"/>
        <v>25</v>
      </c>
      <c r="J375" s="8">
        <v>0</v>
      </c>
      <c r="K375" s="8">
        <v>110000</v>
      </c>
      <c r="L375" s="8">
        <v>2000</v>
      </c>
      <c r="M375" s="8">
        <f>(Table2[[#This Row],[Salary/
Week]]*52)</f>
        <v>104000</v>
      </c>
      <c r="N375" s="9">
        <v>44785</v>
      </c>
      <c r="O375" s="10">
        <v>47664</v>
      </c>
      <c r="P375" s="4">
        <f t="shared" ca="1" si="34"/>
        <v>4</v>
      </c>
      <c r="Q375" s="4">
        <f t="shared" ca="1" si="35"/>
        <v>3</v>
      </c>
      <c r="R375" s="4">
        <f t="shared" ca="1" si="36"/>
        <v>45</v>
      </c>
      <c r="S375" s="4"/>
      <c r="T375" s="4"/>
      <c r="U375" s="4"/>
      <c r="V375" s="4" t="s">
        <v>397</v>
      </c>
      <c r="W375" s="2"/>
      <c r="X375" s="4"/>
    </row>
    <row r="376" spans="1:24" x14ac:dyDescent="0.25">
      <c r="A376" s="1" t="s">
        <v>556</v>
      </c>
      <c r="B376" s="4"/>
      <c r="C376" s="5" t="s">
        <v>400</v>
      </c>
      <c r="D376" s="12">
        <v>17</v>
      </c>
      <c r="E376" s="2" t="s">
        <v>576</v>
      </c>
      <c r="F376" s="4" t="s">
        <v>29</v>
      </c>
      <c r="G376" s="4" t="s">
        <v>29</v>
      </c>
      <c r="H376" s="7">
        <v>38265</v>
      </c>
      <c r="I376" s="21">
        <f t="shared" ca="1" si="33"/>
        <v>21</v>
      </c>
      <c r="J376" s="8">
        <v>92000</v>
      </c>
      <c r="K376" s="8">
        <v>7800000</v>
      </c>
      <c r="L376" s="8">
        <v>17000</v>
      </c>
      <c r="M376" s="8">
        <f>(Table2[[#This Row],[Salary/
Week]]*52)</f>
        <v>884000</v>
      </c>
      <c r="N376" s="9">
        <v>46219</v>
      </c>
      <c r="O376" s="10">
        <v>47299</v>
      </c>
      <c r="P376" s="4">
        <f t="shared" ca="1" si="34"/>
        <v>0</v>
      </c>
      <c r="Q376" s="4">
        <f t="shared" ca="1" si="35"/>
        <v>2</v>
      </c>
      <c r="R376" s="4">
        <f t="shared" ca="1" si="36"/>
        <v>33</v>
      </c>
      <c r="S376" s="4"/>
      <c r="T376" s="4"/>
      <c r="U376" s="4"/>
      <c r="V376" s="4" t="s">
        <v>397</v>
      </c>
      <c r="W376" s="2"/>
      <c r="X376" s="4"/>
    </row>
    <row r="377" spans="1:24" x14ac:dyDescent="0.25">
      <c r="A377" s="1" t="s">
        <v>556</v>
      </c>
      <c r="B377" s="4"/>
      <c r="C377" s="5" t="s">
        <v>401</v>
      </c>
      <c r="D377" s="12">
        <v>18</v>
      </c>
      <c r="E377" s="2" t="s">
        <v>577</v>
      </c>
      <c r="F377" s="4" t="s">
        <v>29</v>
      </c>
      <c r="G377" s="4" t="s">
        <v>29</v>
      </c>
      <c r="H377" s="7">
        <v>37440</v>
      </c>
      <c r="I377" s="21">
        <f t="shared" ca="1" si="33"/>
        <v>24</v>
      </c>
      <c r="J377" s="8">
        <v>8000000</v>
      </c>
      <c r="K377" s="8">
        <v>12000000</v>
      </c>
      <c r="L377" s="8">
        <v>35000</v>
      </c>
      <c r="M377" s="8">
        <f>(Table2[[#This Row],[Salary/
Week]]*52)</f>
        <v>1820000</v>
      </c>
      <c r="N377" s="9">
        <v>45136</v>
      </c>
      <c r="O377" s="10">
        <v>48395</v>
      </c>
      <c r="P377" s="4">
        <f t="shared" ca="1" si="34"/>
        <v>3</v>
      </c>
      <c r="Q377" s="4">
        <f t="shared" ca="1" si="35"/>
        <v>5</v>
      </c>
      <c r="R377" s="4">
        <f t="shared" ca="1" si="36"/>
        <v>69</v>
      </c>
      <c r="S377" s="4"/>
      <c r="T377" s="4"/>
      <c r="U377" s="4"/>
      <c r="V377" s="4" t="s">
        <v>397</v>
      </c>
      <c r="W377" s="2"/>
      <c r="X377" s="4"/>
    </row>
    <row r="378" spans="1:24" x14ac:dyDescent="0.25">
      <c r="A378" s="1" t="s">
        <v>556</v>
      </c>
      <c r="B378" s="4"/>
      <c r="C378" s="5" t="s">
        <v>402</v>
      </c>
      <c r="D378" s="12">
        <v>20</v>
      </c>
      <c r="E378" s="2" t="s">
        <v>578</v>
      </c>
      <c r="F378" s="4" t="s">
        <v>29</v>
      </c>
      <c r="G378" s="4" t="s">
        <v>29</v>
      </c>
      <c r="H378" s="7">
        <v>38587</v>
      </c>
      <c r="I378" s="21">
        <f t="shared" ca="1" si="33"/>
        <v>21</v>
      </c>
      <c r="J378" s="8">
        <v>9000000</v>
      </c>
      <c r="K378" s="8">
        <v>13000000</v>
      </c>
      <c r="L378" s="8">
        <v>16000</v>
      </c>
      <c r="M378" s="8">
        <f>(Table2[[#This Row],[Salary/
Week]]*52)</f>
        <v>832000</v>
      </c>
      <c r="N378" s="9">
        <v>45516</v>
      </c>
      <c r="O378" s="10">
        <v>47664</v>
      </c>
      <c r="P378" s="4">
        <f t="shared" ca="1" si="34"/>
        <v>2</v>
      </c>
      <c r="Q378" s="4">
        <f t="shared" ca="1" si="35"/>
        <v>3</v>
      </c>
      <c r="R378" s="4">
        <f t="shared" ca="1" si="36"/>
        <v>45</v>
      </c>
      <c r="S378" s="4"/>
      <c r="T378" s="4"/>
      <c r="U378" s="4"/>
      <c r="V378" s="4" t="s">
        <v>397</v>
      </c>
      <c r="W378" s="2"/>
      <c r="X378" s="4"/>
    </row>
    <row r="379" spans="1:24" x14ac:dyDescent="0.25">
      <c r="A379" s="1" t="s">
        <v>556</v>
      </c>
      <c r="B379" s="4"/>
      <c r="C379" s="5" t="s">
        <v>400</v>
      </c>
      <c r="D379" s="12">
        <v>16</v>
      </c>
      <c r="E379" s="2" t="s">
        <v>583</v>
      </c>
      <c r="F379" s="4" t="s">
        <v>30</v>
      </c>
      <c r="G379" s="4" t="s">
        <v>32</v>
      </c>
      <c r="H379" s="7">
        <v>37866</v>
      </c>
      <c r="I379" s="21">
        <f t="shared" ca="1" si="33"/>
        <v>23</v>
      </c>
      <c r="J379" s="8">
        <v>0</v>
      </c>
      <c r="K379" s="8">
        <v>0</v>
      </c>
      <c r="L379" s="8">
        <v>28000</v>
      </c>
      <c r="M379" s="8">
        <f>(Table2[[#This Row],[Salary/
Week]]*52)</f>
        <v>1456000</v>
      </c>
      <c r="N379" s="9">
        <v>44786</v>
      </c>
      <c r="O379" s="10">
        <v>46568</v>
      </c>
      <c r="P379" s="4">
        <f t="shared" ca="1" si="34"/>
        <v>4</v>
      </c>
      <c r="Q379" s="4">
        <f t="shared" ca="1" si="35"/>
        <v>0</v>
      </c>
      <c r="R379" s="4">
        <f t="shared" ca="1" si="36"/>
        <v>9</v>
      </c>
      <c r="S379" s="4"/>
      <c r="T379" s="4"/>
      <c r="U379" s="4"/>
      <c r="V379" s="4" t="s">
        <v>396</v>
      </c>
      <c r="W379" s="2"/>
      <c r="X379" s="4"/>
    </row>
    <row r="380" spans="1:24" x14ac:dyDescent="0.25">
      <c r="A380" s="1" t="s">
        <v>556</v>
      </c>
      <c r="B380" s="4"/>
      <c r="C380" s="5" t="s">
        <v>401</v>
      </c>
      <c r="D380" s="12">
        <v>37</v>
      </c>
      <c r="E380" s="2" t="s">
        <v>579</v>
      </c>
      <c r="F380" s="4" t="s">
        <v>30</v>
      </c>
      <c r="G380" s="4" t="s">
        <v>30</v>
      </c>
      <c r="H380" s="7">
        <v>38301</v>
      </c>
      <c r="I380" s="21">
        <f t="shared" ca="1" si="33"/>
        <v>21</v>
      </c>
      <c r="J380" s="8">
        <v>1500000</v>
      </c>
      <c r="K380" s="8">
        <v>20000000</v>
      </c>
      <c r="L380" s="8">
        <v>26000</v>
      </c>
      <c r="M380" s="8">
        <f>(Table2[[#This Row],[Salary/
Week]]*52)</f>
        <v>1352000</v>
      </c>
      <c r="N380" s="9">
        <v>45547</v>
      </c>
      <c r="O380" s="10">
        <v>47299</v>
      </c>
      <c r="P380" s="4">
        <f t="shared" ca="1" si="34"/>
        <v>1</v>
      </c>
      <c r="Q380" s="4">
        <f t="shared" ca="1" si="35"/>
        <v>2</v>
      </c>
      <c r="R380" s="4">
        <f t="shared" ca="1" si="36"/>
        <v>33</v>
      </c>
      <c r="S380" s="4"/>
      <c r="T380" s="4"/>
      <c r="U380" s="4"/>
      <c r="V380" s="4" t="s">
        <v>397</v>
      </c>
      <c r="W380" s="2"/>
      <c r="X380" s="4"/>
    </row>
    <row r="381" spans="1:24" x14ac:dyDescent="0.25">
      <c r="A381" s="1" t="s">
        <v>556</v>
      </c>
      <c r="B381" s="4"/>
      <c r="C381" s="5" t="s">
        <v>401</v>
      </c>
      <c r="D381" s="12">
        <v>10</v>
      </c>
      <c r="E381" s="2" t="s">
        <v>580</v>
      </c>
      <c r="F381" s="4" t="s">
        <v>32</v>
      </c>
      <c r="G381" s="4" t="s">
        <v>31</v>
      </c>
      <c r="H381" s="7">
        <v>36658</v>
      </c>
      <c r="I381" s="21">
        <f t="shared" ca="1" si="33"/>
        <v>26</v>
      </c>
      <c r="J381" s="8">
        <v>0</v>
      </c>
      <c r="K381" s="8">
        <v>19000000</v>
      </c>
      <c r="L381" s="8">
        <v>39000</v>
      </c>
      <c r="M381" s="8">
        <f>(Table2[[#This Row],[Salary/
Week]]*52)</f>
        <v>2028000</v>
      </c>
      <c r="N381" s="9">
        <v>44074</v>
      </c>
      <c r="O381" s="10">
        <v>46568</v>
      </c>
      <c r="P381" s="4">
        <f t="shared" ca="1" si="34"/>
        <v>6</v>
      </c>
      <c r="Q381" s="4">
        <f t="shared" ca="1" si="35"/>
        <v>0</v>
      </c>
      <c r="R381" s="4">
        <f t="shared" ca="1" si="36"/>
        <v>9</v>
      </c>
      <c r="S381" s="4"/>
      <c r="T381" s="4"/>
      <c r="U381" s="4"/>
      <c r="V381" s="4" t="s">
        <v>397</v>
      </c>
      <c r="W381" s="2"/>
      <c r="X381" s="4"/>
    </row>
    <row r="382" spans="1:24" x14ac:dyDescent="0.25">
      <c r="A382" s="1" t="s">
        <v>556</v>
      </c>
      <c r="B382" s="4" t="s">
        <v>57</v>
      </c>
      <c r="C382" s="5" t="s">
        <v>400</v>
      </c>
      <c r="D382" s="12">
        <v>30</v>
      </c>
      <c r="E382" s="2" t="s">
        <v>584</v>
      </c>
      <c r="F382" s="4" t="s">
        <v>32</v>
      </c>
      <c r="G382" s="4" t="s">
        <v>32</v>
      </c>
      <c r="H382" s="7">
        <v>37650</v>
      </c>
      <c r="I382" s="21">
        <f t="shared" ca="1" si="33"/>
        <v>23</v>
      </c>
      <c r="J382" s="8">
        <v>35000000</v>
      </c>
      <c r="K382" s="8">
        <v>40000000</v>
      </c>
      <c r="L382" s="8">
        <v>55000</v>
      </c>
      <c r="M382" s="8">
        <f>(Table2[[#This Row],[Salary/
Week]]*52)</f>
        <v>2860000</v>
      </c>
      <c r="N382" s="9">
        <v>46023</v>
      </c>
      <c r="O382" s="10">
        <v>47664</v>
      </c>
      <c r="P382" s="4">
        <f t="shared" ca="1" si="34"/>
        <v>0</v>
      </c>
      <c r="Q382" s="4">
        <f t="shared" ca="1" si="35"/>
        <v>3</v>
      </c>
      <c r="R382" s="4">
        <f t="shared" ca="1" si="36"/>
        <v>45</v>
      </c>
      <c r="S382" s="4"/>
      <c r="T382" s="4"/>
      <c r="U382" s="4"/>
      <c r="V382" s="4" t="s">
        <v>397</v>
      </c>
      <c r="W382" s="2"/>
      <c r="X382" s="4"/>
    </row>
    <row r="383" spans="1:24" x14ac:dyDescent="0.25">
      <c r="A383" s="1" t="s">
        <v>556</v>
      </c>
      <c r="B383" s="4"/>
      <c r="C383" s="5" t="s">
        <v>400</v>
      </c>
      <c r="D383" s="12">
        <v>12</v>
      </c>
      <c r="E383" s="2" t="s">
        <v>585</v>
      </c>
      <c r="F383" s="4" t="s">
        <v>31</v>
      </c>
      <c r="G383" s="4" t="s">
        <v>31</v>
      </c>
      <c r="H383" s="7">
        <v>36749</v>
      </c>
      <c r="I383" s="21">
        <f t="shared" ca="1" si="33"/>
        <v>26</v>
      </c>
      <c r="J383" s="8">
        <v>800000</v>
      </c>
      <c r="K383" s="8">
        <v>14000000</v>
      </c>
      <c r="L383" s="8">
        <v>35000</v>
      </c>
      <c r="M383" s="8">
        <f>(Table2[[#This Row],[Salary/
Week]]*52)</f>
        <v>1820000</v>
      </c>
      <c r="N383" s="9">
        <v>45838</v>
      </c>
      <c r="O383" s="10">
        <v>48760</v>
      </c>
      <c r="P383" s="4">
        <f t="shared" ca="1" si="34"/>
        <v>1</v>
      </c>
      <c r="Q383" s="4">
        <f t="shared" ca="1" si="35"/>
        <v>6</v>
      </c>
      <c r="R383" s="4">
        <f t="shared" ca="1" si="36"/>
        <v>81</v>
      </c>
      <c r="S383" s="4"/>
      <c r="T383" s="4"/>
      <c r="U383" s="4"/>
      <c r="V383" s="4" t="s">
        <v>397</v>
      </c>
      <c r="W383" s="2"/>
      <c r="X383" s="4"/>
    </row>
    <row r="384" spans="1:24" x14ac:dyDescent="0.25">
      <c r="A384" s="1" t="s">
        <v>556</v>
      </c>
      <c r="B384" s="4"/>
      <c r="C384" s="5" t="s">
        <v>401</v>
      </c>
      <c r="D384" s="12">
        <v>11</v>
      </c>
      <c r="E384" s="2" t="s">
        <v>586</v>
      </c>
      <c r="F384" s="4" t="s">
        <v>31</v>
      </c>
      <c r="G384" s="4" t="s">
        <v>31</v>
      </c>
      <c r="H384" s="7">
        <v>39730</v>
      </c>
      <c r="I384" s="21">
        <f t="shared" ca="1" si="33"/>
        <v>17</v>
      </c>
      <c r="J384" s="8">
        <v>0</v>
      </c>
      <c r="K384" s="8">
        <v>0</v>
      </c>
      <c r="L384" s="8">
        <v>40000</v>
      </c>
      <c r="M384" s="8">
        <f>(Table2[[#This Row],[Salary/
Week]]*52)</f>
        <v>2080000</v>
      </c>
      <c r="N384" s="9">
        <v>46233</v>
      </c>
      <c r="O384" s="10">
        <v>47299</v>
      </c>
      <c r="P384" s="4">
        <f t="shared" ca="1" si="34"/>
        <v>0</v>
      </c>
      <c r="Q384" s="4">
        <f t="shared" ca="1" si="35"/>
        <v>2</v>
      </c>
      <c r="R384" s="4">
        <f t="shared" ca="1" si="36"/>
        <v>33</v>
      </c>
      <c r="S384" s="4"/>
      <c r="T384" s="4"/>
      <c r="U384" s="4"/>
      <c r="V384" s="4" t="s">
        <v>397</v>
      </c>
      <c r="W384" s="2"/>
      <c r="X384" s="4"/>
    </row>
    <row r="385" spans="1:24" x14ac:dyDescent="0.25">
      <c r="A385" s="1" t="s">
        <v>556</v>
      </c>
      <c r="B385" s="4"/>
      <c r="C385" s="5" t="s">
        <v>400</v>
      </c>
      <c r="D385" s="12">
        <v>9</v>
      </c>
      <c r="E385" s="2" t="s">
        <v>589</v>
      </c>
      <c r="F385" s="4" t="s">
        <v>35</v>
      </c>
      <c r="G385" s="4" t="s">
        <v>35</v>
      </c>
      <c r="H385" s="7">
        <v>36689</v>
      </c>
      <c r="I385" s="21">
        <f t="shared" ca="1" si="33"/>
        <v>26</v>
      </c>
      <c r="J385" s="8">
        <v>15000000</v>
      </c>
      <c r="K385" s="8">
        <v>3500000</v>
      </c>
      <c r="L385" s="8">
        <v>28000</v>
      </c>
      <c r="M385" s="8">
        <f>(Table2[[#This Row],[Salary/
Week]]*52)</f>
        <v>1456000</v>
      </c>
      <c r="N385" s="9">
        <v>44055</v>
      </c>
      <c r="O385" s="10">
        <v>47299</v>
      </c>
      <c r="P385" s="4">
        <f t="shared" ca="1" si="34"/>
        <v>6</v>
      </c>
      <c r="Q385" s="4">
        <f t="shared" ca="1" si="35"/>
        <v>2</v>
      </c>
      <c r="R385" s="4">
        <f t="shared" ca="1" si="36"/>
        <v>33</v>
      </c>
      <c r="S385" s="4"/>
      <c r="T385" s="4"/>
      <c r="U385" s="4"/>
      <c r="V385" s="4" t="s">
        <v>396</v>
      </c>
      <c r="W385" s="2"/>
      <c r="X385" s="4"/>
    </row>
    <row r="386" spans="1:24" x14ac:dyDescent="0.25">
      <c r="A386" s="1" t="s">
        <v>556</v>
      </c>
      <c r="B386" s="4"/>
      <c r="C386" s="5" t="s">
        <v>401</v>
      </c>
      <c r="D386" s="12">
        <v>7</v>
      </c>
      <c r="E386" s="2" t="s">
        <v>588</v>
      </c>
      <c r="F386" s="4" t="s">
        <v>35</v>
      </c>
      <c r="G386" s="4" t="s">
        <v>35</v>
      </c>
      <c r="H386" s="7">
        <v>37736</v>
      </c>
      <c r="I386" s="21">
        <f t="shared" ca="1" si="33"/>
        <v>23</v>
      </c>
      <c r="J386" s="8">
        <v>10000000</v>
      </c>
      <c r="K386" s="8">
        <v>8000000</v>
      </c>
      <c r="L386" s="8">
        <v>23000</v>
      </c>
      <c r="M386" s="8">
        <f>(Table2[[#This Row],[Salary/
Week]]*52)</f>
        <v>1196000</v>
      </c>
      <c r="N386" s="9">
        <v>45846</v>
      </c>
      <c r="O386" s="10">
        <v>47664</v>
      </c>
      <c r="P386" s="4">
        <f t="shared" ca="1" si="34"/>
        <v>1</v>
      </c>
      <c r="Q386" s="4">
        <f t="shared" ca="1" si="35"/>
        <v>3</v>
      </c>
      <c r="R386" s="4">
        <f t="shared" ca="1" si="36"/>
        <v>45</v>
      </c>
      <c r="S386" s="4"/>
      <c r="T386" s="4"/>
      <c r="U386" s="4"/>
      <c r="V386" s="4" t="s">
        <v>396</v>
      </c>
      <c r="W386" s="2"/>
      <c r="X386" s="4"/>
    </row>
    <row r="387" spans="1:24" x14ac:dyDescent="0.25">
      <c r="A387" s="1" t="s">
        <v>566</v>
      </c>
      <c r="B387" s="4" t="s">
        <v>57</v>
      </c>
      <c r="C387" s="5" t="s">
        <v>400</v>
      </c>
      <c r="D387" s="12">
        <v>1</v>
      </c>
      <c r="E387" s="2" t="s">
        <v>590</v>
      </c>
      <c r="F387" s="4" t="s">
        <v>23</v>
      </c>
      <c r="G387" s="4" t="s">
        <v>23</v>
      </c>
      <c r="H387" s="7">
        <v>34181</v>
      </c>
      <c r="I387" s="21">
        <f ca="1">DATEDIF(H387,TODAY(),"Y")</f>
        <v>33</v>
      </c>
      <c r="J387" s="8">
        <v>0</v>
      </c>
      <c r="K387" s="8">
        <v>0</v>
      </c>
      <c r="L387" s="8">
        <v>30000</v>
      </c>
      <c r="M387" s="8">
        <f>(Table2[[#This Row],[Salary/
Week]]*52)</f>
        <v>1560000</v>
      </c>
      <c r="N387" s="9">
        <v>45096</v>
      </c>
      <c r="O387" s="10">
        <v>46568</v>
      </c>
      <c r="P387" s="4">
        <f ca="1">DATEDIF(N387,TODAY(),"Y")</f>
        <v>3</v>
      </c>
      <c r="Q387" s="4">
        <f ca="1">DATEDIF(TODAY(),O387,"y")</f>
        <v>0</v>
      </c>
      <c r="R387" s="4">
        <f ca="1">DATEDIF(TODAY(),O387,"m")</f>
        <v>9</v>
      </c>
      <c r="S387" s="4"/>
      <c r="T387" s="4"/>
      <c r="U387" s="4"/>
      <c r="V387" s="4" t="s">
        <v>397</v>
      </c>
      <c r="W387" s="2"/>
      <c r="X387" s="4"/>
    </row>
    <row r="388" spans="1:24" x14ac:dyDescent="0.25">
      <c r="A388" s="1" t="s">
        <v>566</v>
      </c>
      <c r="B388" s="4"/>
      <c r="C388" s="5" t="s">
        <v>401</v>
      </c>
      <c r="D388" s="12">
        <v>34</v>
      </c>
      <c r="E388" s="2" t="s">
        <v>591</v>
      </c>
      <c r="F388" s="4" t="s">
        <v>23</v>
      </c>
      <c r="G388" s="4" t="s">
        <v>23</v>
      </c>
      <c r="H388" s="7">
        <v>36623</v>
      </c>
      <c r="I388" s="21">
        <f t="shared" ref="I388:I409" ca="1" si="37">DATEDIF(H388,TODAY(),"Y")</f>
        <v>26</v>
      </c>
      <c r="J388" s="8">
        <v>0</v>
      </c>
      <c r="K388" s="8">
        <v>0</v>
      </c>
      <c r="L388" s="8">
        <v>30000</v>
      </c>
      <c r="M388" s="8">
        <f>(Table2[[#This Row],[Salary/
Week]]*52)</f>
        <v>1560000</v>
      </c>
      <c r="N388" s="9">
        <v>44746</v>
      </c>
      <c r="O388" s="10">
        <v>47299</v>
      </c>
      <c r="P388" s="4">
        <f t="shared" ref="P388:P409" ca="1" si="38">DATEDIF(N388,TODAY(),"Y")</f>
        <v>4</v>
      </c>
      <c r="Q388" s="4">
        <f t="shared" ref="Q388:Q409" ca="1" si="39">DATEDIF(TODAY(),O388,"y")</f>
        <v>2</v>
      </c>
      <c r="R388" s="4">
        <f t="shared" ref="R388:R409" ca="1" si="40">DATEDIF(TODAY(),O388,"m")</f>
        <v>33</v>
      </c>
      <c r="S388" s="4"/>
      <c r="T388" s="4"/>
      <c r="U388" s="4"/>
      <c r="V388" s="4" t="s">
        <v>396</v>
      </c>
      <c r="W388" s="2"/>
      <c r="X388" s="4"/>
    </row>
    <row r="389" spans="1:24" x14ac:dyDescent="0.25">
      <c r="A389" s="1" t="s">
        <v>566</v>
      </c>
      <c r="B389" s="4" t="s">
        <v>47</v>
      </c>
      <c r="C389" s="5" t="s">
        <v>400</v>
      </c>
      <c r="D389" s="12">
        <v>6</v>
      </c>
      <c r="E389" s="2" t="s">
        <v>592</v>
      </c>
      <c r="F389" s="4" t="s">
        <v>25</v>
      </c>
      <c r="G389" s="4" t="s">
        <v>25</v>
      </c>
      <c r="H389" s="7">
        <v>34887</v>
      </c>
      <c r="I389" s="21">
        <f t="shared" ca="1" si="37"/>
        <v>31</v>
      </c>
      <c r="J389" s="8">
        <v>0</v>
      </c>
      <c r="K389" s="8">
        <v>8000000</v>
      </c>
      <c r="L389" s="8">
        <v>42340</v>
      </c>
      <c r="M389" s="8">
        <f>(Table2[[#This Row],[Salary/
Week]]*52)</f>
        <v>2201680</v>
      </c>
      <c r="N389" s="9">
        <v>45158</v>
      </c>
      <c r="O389" s="10">
        <v>46568</v>
      </c>
      <c r="P389" s="4">
        <f t="shared" ca="1" si="38"/>
        <v>3</v>
      </c>
      <c r="Q389" s="4">
        <f t="shared" ca="1" si="39"/>
        <v>0</v>
      </c>
      <c r="R389" s="4">
        <f t="shared" ca="1" si="40"/>
        <v>9</v>
      </c>
      <c r="S389" s="4"/>
      <c r="T389" s="4"/>
      <c r="U389" s="4"/>
      <c r="V389" s="4" t="s">
        <v>396</v>
      </c>
      <c r="W389" s="2"/>
      <c r="X389" s="4"/>
    </row>
    <row r="390" spans="1:24" x14ac:dyDescent="0.25">
      <c r="A390" s="1" t="s">
        <v>566</v>
      </c>
      <c r="B390" s="4"/>
      <c r="C390" s="5" t="s">
        <v>401</v>
      </c>
      <c r="D390" s="12">
        <v>3</v>
      </c>
      <c r="E390" s="2" t="s">
        <v>593</v>
      </c>
      <c r="F390" s="4" t="s">
        <v>25</v>
      </c>
      <c r="G390" s="4" t="s">
        <v>25</v>
      </c>
      <c r="H390" s="7">
        <v>36490</v>
      </c>
      <c r="I390" s="21">
        <f t="shared" ca="1" si="37"/>
        <v>26</v>
      </c>
      <c r="J390" s="8">
        <v>0</v>
      </c>
      <c r="K390" s="8">
        <v>0</v>
      </c>
      <c r="L390" s="8">
        <v>12380</v>
      </c>
      <c r="M390" s="8">
        <f>(Table2[[#This Row],[Salary/
Week]]*52)</f>
        <v>643760</v>
      </c>
      <c r="N390" s="9">
        <v>45131</v>
      </c>
      <c r="O390" s="10">
        <v>47299</v>
      </c>
      <c r="P390" s="4">
        <f t="shared" ca="1" si="38"/>
        <v>3</v>
      </c>
      <c r="Q390" s="4">
        <f t="shared" ca="1" si="39"/>
        <v>2</v>
      </c>
      <c r="R390" s="4">
        <f t="shared" ca="1" si="40"/>
        <v>33</v>
      </c>
      <c r="S390" s="4"/>
      <c r="T390" s="4"/>
      <c r="U390" s="4"/>
      <c r="V390" s="4" t="s">
        <v>397</v>
      </c>
      <c r="W390" s="2"/>
      <c r="X390" s="4"/>
    </row>
    <row r="391" spans="1:24" x14ac:dyDescent="0.25">
      <c r="A391" s="1" t="s">
        <v>566</v>
      </c>
      <c r="B391" s="4"/>
      <c r="C391" s="5" t="s">
        <v>400</v>
      </c>
      <c r="D391" s="12">
        <v>24</v>
      </c>
      <c r="E391" s="2" t="s">
        <v>594</v>
      </c>
      <c r="F391" s="4" t="s">
        <v>26</v>
      </c>
      <c r="G391" s="4" t="s">
        <v>26</v>
      </c>
      <c r="H391" s="7">
        <v>36994</v>
      </c>
      <c r="I391" s="21">
        <f t="shared" ca="1" si="37"/>
        <v>25</v>
      </c>
      <c r="J391" s="8">
        <v>14500000</v>
      </c>
      <c r="K391" s="8">
        <v>15000000</v>
      </c>
      <c r="L391" s="8">
        <v>40871</v>
      </c>
      <c r="M391" s="8">
        <f>(Table2[[#This Row],[Salary/
Week]]*52)</f>
        <v>2125292</v>
      </c>
      <c r="N391" s="9">
        <v>45448</v>
      </c>
      <c r="O391" s="10">
        <v>46934</v>
      </c>
      <c r="P391" s="4">
        <f t="shared" ca="1" si="38"/>
        <v>2</v>
      </c>
      <c r="Q391" s="4">
        <f t="shared" ca="1" si="39"/>
        <v>1</v>
      </c>
      <c r="R391" s="4">
        <f t="shared" ca="1" si="40"/>
        <v>21</v>
      </c>
      <c r="S391" s="4"/>
      <c r="T391" s="4"/>
      <c r="U391" s="4"/>
      <c r="V391" s="4" t="s">
        <v>397</v>
      </c>
      <c r="W391" s="2"/>
      <c r="X391" s="4"/>
    </row>
    <row r="392" spans="1:24" x14ac:dyDescent="0.25">
      <c r="A392" s="1" t="s">
        <v>566</v>
      </c>
      <c r="B392" s="4"/>
      <c r="C392" s="5" t="s">
        <v>400</v>
      </c>
      <c r="D392" s="12">
        <v>21</v>
      </c>
      <c r="E392" s="2" t="s">
        <v>595</v>
      </c>
      <c r="F392" s="4" t="s">
        <v>26</v>
      </c>
      <c r="G392" s="4" t="s">
        <v>26</v>
      </c>
      <c r="H392" s="7">
        <v>36833</v>
      </c>
      <c r="I392" s="21">
        <f t="shared" ca="1" si="37"/>
        <v>25</v>
      </c>
      <c r="J392" s="8">
        <v>25000000</v>
      </c>
      <c r="K392" s="8">
        <v>25000000</v>
      </c>
      <c r="L392" s="8">
        <v>40871</v>
      </c>
      <c r="M392" s="8">
        <f>(Table2[[#This Row],[Salary/
Week]]*52)</f>
        <v>2125292</v>
      </c>
      <c r="N392" s="9">
        <v>45462</v>
      </c>
      <c r="O392" s="10">
        <v>46568</v>
      </c>
      <c r="P392" s="4">
        <f t="shared" ca="1" si="38"/>
        <v>2</v>
      </c>
      <c r="Q392" s="4">
        <f t="shared" ca="1" si="39"/>
        <v>0</v>
      </c>
      <c r="R392" s="4">
        <f t="shared" ca="1" si="40"/>
        <v>9</v>
      </c>
      <c r="S392" s="4"/>
      <c r="T392" s="4"/>
      <c r="U392" s="4"/>
      <c r="V392" s="4" t="s">
        <v>397</v>
      </c>
      <c r="W392" s="2"/>
      <c r="X392" s="4"/>
    </row>
    <row r="393" spans="1:24" x14ac:dyDescent="0.25">
      <c r="A393" s="1" t="s">
        <v>566</v>
      </c>
      <c r="B393" s="4"/>
      <c r="C393" s="5" t="s">
        <v>401</v>
      </c>
      <c r="D393" s="12">
        <v>16</v>
      </c>
      <c r="E393" s="2" t="s">
        <v>596</v>
      </c>
      <c r="F393" s="4" t="s">
        <v>26</v>
      </c>
      <c r="G393" s="4" t="s">
        <v>26</v>
      </c>
      <c r="H393" s="7">
        <v>38668</v>
      </c>
      <c r="I393" s="21">
        <f t="shared" ca="1" si="37"/>
        <v>20</v>
      </c>
      <c r="J393" s="8">
        <v>0</v>
      </c>
      <c r="K393" s="8">
        <v>0</v>
      </c>
      <c r="L393" s="8">
        <v>11000</v>
      </c>
      <c r="M393" s="8">
        <f>(Table2[[#This Row],[Salary/
Week]]*52)</f>
        <v>572000</v>
      </c>
      <c r="N393" s="9">
        <v>45108</v>
      </c>
      <c r="O393" s="10">
        <v>47299</v>
      </c>
      <c r="P393" s="4">
        <f t="shared" ca="1" si="38"/>
        <v>3</v>
      </c>
      <c r="Q393" s="4">
        <f t="shared" ca="1" si="39"/>
        <v>2</v>
      </c>
      <c r="R393" s="4">
        <f t="shared" ca="1" si="40"/>
        <v>33</v>
      </c>
      <c r="S393" s="4"/>
      <c r="T393" s="4"/>
      <c r="U393" s="4"/>
      <c r="V393" s="4" t="s">
        <v>396</v>
      </c>
      <c r="W393" s="2"/>
      <c r="X393" s="4"/>
    </row>
    <row r="394" spans="1:24" x14ac:dyDescent="0.25">
      <c r="A394" s="1" t="s">
        <v>566</v>
      </c>
      <c r="B394" s="4"/>
      <c r="C394" s="5" t="s">
        <v>401</v>
      </c>
      <c r="D394" s="12">
        <v>88</v>
      </c>
      <c r="E394" s="2" t="s">
        <v>597</v>
      </c>
      <c r="F394" s="4" t="s">
        <v>26</v>
      </c>
      <c r="G394" s="4" t="s">
        <v>26</v>
      </c>
      <c r="H394" s="7">
        <v>36779</v>
      </c>
      <c r="I394" s="21">
        <f t="shared" ca="1" si="37"/>
        <v>26</v>
      </c>
      <c r="J394" s="8"/>
      <c r="K394" s="8">
        <v>11000000</v>
      </c>
      <c r="L394" s="8">
        <v>8000</v>
      </c>
      <c r="M394" s="8">
        <f>(Table2[[#This Row],[Salary/
Week]]*52)</f>
        <v>416000</v>
      </c>
      <c r="N394" s="9">
        <v>45119</v>
      </c>
      <c r="O394" s="10">
        <v>46934</v>
      </c>
      <c r="P394" s="4">
        <f t="shared" ca="1" si="38"/>
        <v>3</v>
      </c>
      <c r="Q394" s="4">
        <f t="shared" ca="1" si="39"/>
        <v>1</v>
      </c>
      <c r="R394" s="4">
        <f t="shared" ca="1" si="40"/>
        <v>21</v>
      </c>
      <c r="S394" s="4"/>
      <c r="T394" s="4"/>
      <c r="U394" s="4"/>
      <c r="V394" s="4" t="s">
        <v>396</v>
      </c>
      <c r="W394" s="2"/>
      <c r="X394" s="4"/>
    </row>
    <row r="395" spans="1:24" x14ac:dyDescent="0.25">
      <c r="A395" s="1" t="s">
        <v>566</v>
      </c>
      <c r="B395" s="4"/>
      <c r="C395" s="5" t="s">
        <v>400</v>
      </c>
      <c r="D395" s="12">
        <v>4</v>
      </c>
      <c r="E395" s="2" t="s">
        <v>598</v>
      </c>
      <c r="F395" s="4" t="s">
        <v>27</v>
      </c>
      <c r="G395" s="4" t="s">
        <v>27</v>
      </c>
      <c r="H395" s="7">
        <v>36871</v>
      </c>
      <c r="I395" s="21">
        <f t="shared" ca="1" si="37"/>
        <v>25</v>
      </c>
      <c r="J395" s="8">
        <v>25000000</v>
      </c>
      <c r="K395" s="8">
        <v>25000000</v>
      </c>
      <c r="L395" s="8">
        <v>72000</v>
      </c>
      <c r="M395" s="8">
        <f>(Table2[[#This Row],[Salary/
Week]]*52)</f>
        <v>3744000</v>
      </c>
      <c r="N395" s="9">
        <v>45314</v>
      </c>
      <c r="O395" s="10">
        <v>46934</v>
      </c>
      <c r="P395" s="4">
        <f t="shared" ca="1" si="38"/>
        <v>2</v>
      </c>
      <c r="Q395" s="4">
        <f t="shared" ca="1" si="39"/>
        <v>1</v>
      </c>
      <c r="R395" s="4">
        <f t="shared" ca="1" si="40"/>
        <v>21</v>
      </c>
      <c r="S395" s="4"/>
      <c r="T395" s="4"/>
      <c r="U395" s="4"/>
      <c r="V395" s="4" t="s">
        <v>397</v>
      </c>
      <c r="W395" s="2"/>
      <c r="X395" s="4"/>
    </row>
    <row r="396" spans="1:24" x14ac:dyDescent="0.25">
      <c r="A396" s="1" t="s">
        <v>566</v>
      </c>
      <c r="B396" s="4"/>
      <c r="C396" s="5" t="s">
        <v>401</v>
      </c>
      <c r="D396" s="12">
        <v>30</v>
      </c>
      <c r="E396" s="2" t="s">
        <v>599</v>
      </c>
      <c r="F396" s="4" t="s">
        <v>27</v>
      </c>
      <c r="G396" s="4" t="s">
        <v>27</v>
      </c>
      <c r="H396" s="7">
        <v>37905</v>
      </c>
      <c r="I396" s="21">
        <f t="shared" ca="1" si="37"/>
        <v>22</v>
      </c>
      <c r="J396" s="8">
        <v>0</v>
      </c>
      <c r="K396" s="8">
        <v>0</v>
      </c>
      <c r="L396" s="8">
        <v>14500</v>
      </c>
      <c r="M396" s="8">
        <f>(Table2[[#This Row],[Salary/
Week]]*52)</f>
        <v>754000</v>
      </c>
      <c r="N396" s="9">
        <v>44733</v>
      </c>
      <c r="O396" s="10">
        <v>47299</v>
      </c>
      <c r="P396" s="4">
        <f t="shared" ca="1" si="38"/>
        <v>4</v>
      </c>
      <c r="Q396" s="4">
        <f t="shared" ca="1" si="39"/>
        <v>2</v>
      </c>
      <c r="R396" s="4">
        <f t="shared" ca="1" si="40"/>
        <v>33</v>
      </c>
      <c r="S396" s="4"/>
      <c r="T396" s="4"/>
      <c r="U396" s="4"/>
      <c r="V396" s="4" t="s">
        <v>397</v>
      </c>
      <c r="W396" s="2"/>
      <c r="X396" s="4"/>
    </row>
    <row r="397" spans="1:24" x14ac:dyDescent="0.25">
      <c r="A397" s="1" t="s">
        <v>566</v>
      </c>
      <c r="B397" s="4"/>
      <c r="C397" s="5" t="s">
        <v>400</v>
      </c>
      <c r="D397" s="12">
        <v>6</v>
      </c>
      <c r="E397" s="2" t="s">
        <v>600</v>
      </c>
      <c r="F397" s="4" t="s">
        <v>28</v>
      </c>
      <c r="G397" s="4" t="s">
        <v>28</v>
      </c>
      <c r="H397" s="7">
        <v>38491</v>
      </c>
      <c r="I397" s="21">
        <f t="shared" ca="1" si="37"/>
        <v>21</v>
      </c>
      <c r="J397" s="8">
        <v>0</v>
      </c>
      <c r="K397" s="8">
        <v>18000000</v>
      </c>
      <c r="L397" s="8">
        <v>50000</v>
      </c>
      <c r="M397" s="8">
        <f>(Table2[[#This Row],[Salary/
Week]]*52)</f>
        <v>2600000</v>
      </c>
      <c r="N397" s="9">
        <v>45485</v>
      </c>
      <c r="O397" s="10">
        <v>47299</v>
      </c>
      <c r="P397" s="4">
        <f t="shared" ca="1" si="38"/>
        <v>2</v>
      </c>
      <c r="Q397" s="4">
        <f t="shared" ca="1" si="39"/>
        <v>2</v>
      </c>
      <c r="R397" s="4">
        <f t="shared" ca="1" si="40"/>
        <v>33</v>
      </c>
      <c r="S397" s="4"/>
      <c r="T397" s="4"/>
      <c r="U397" s="4"/>
      <c r="V397" s="4" t="s">
        <v>396</v>
      </c>
      <c r="W397" s="2"/>
      <c r="X397" s="4"/>
    </row>
    <row r="398" spans="1:24" x14ac:dyDescent="0.25">
      <c r="A398" s="1" t="s">
        <v>566</v>
      </c>
      <c r="B398" s="4"/>
      <c r="C398" s="5" t="s">
        <v>401</v>
      </c>
      <c r="D398" s="12">
        <v>19</v>
      </c>
      <c r="E398" s="2" t="s">
        <v>606</v>
      </c>
      <c r="F398" s="4" t="s">
        <v>28</v>
      </c>
      <c r="G398" s="4" t="s">
        <v>28</v>
      </c>
      <c r="H398" s="7">
        <v>37116</v>
      </c>
      <c r="I398" s="21">
        <f t="shared" ca="1" si="37"/>
        <v>25</v>
      </c>
      <c r="J398" s="8">
        <v>0</v>
      </c>
      <c r="K398" s="8">
        <v>2000000</v>
      </c>
      <c r="L398" s="8">
        <v>14000</v>
      </c>
      <c r="M398" s="8">
        <f>(Table2[[#This Row],[Salary/
Week]]*52)</f>
        <v>728000</v>
      </c>
      <c r="N398" s="9">
        <v>45119</v>
      </c>
      <c r="O398" s="10">
        <v>46568</v>
      </c>
      <c r="P398" s="4">
        <f t="shared" ca="1" si="38"/>
        <v>3</v>
      </c>
      <c r="Q398" s="4">
        <f t="shared" ca="1" si="39"/>
        <v>0</v>
      </c>
      <c r="R398" s="4">
        <f t="shared" ca="1" si="40"/>
        <v>9</v>
      </c>
      <c r="S398" s="4"/>
      <c r="T398" s="4"/>
      <c r="U398" s="4"/>
      <c r="V398" s="4" t="s">
        <v>397</v>
      </c>
      <c r="W398" s="2"/>
      <c r="X398" s="4"/>
    </row>
    <row r="399" spans="1:24" x14ac:dyDescent="0.25">
      <c r="A399" s="1" t="s">
        <v>566</v>
      </c>
      <c r="B399" s="4"/>
      <c r="C399" s="5" t="s">
        <v>400</v>
      </c>
      <c r="D399" s="12">
        <v>17</v>
      </c>
      <c r="E399" s="2" t="s">
        <v>601</v>
      </c>
      <c r="F399" s="4" t="s">
        <v>29</v>
      </c>
      <c r="G399" s="4" t="s">
        <v>29</v>
      </c>
      <c r="H399" s="7">
        <v>37923</v>
      </c>
      <c r="I399" s="21">
        <f t="shared" ca="1" si="37"/>
        <v>22</v>
      </c>
      <c r="J399" s="8">
        <v>0</v>
      </c>
      <c r="K399" s="8">
        <v>45000000</v>
      </c>
      <c r="L399" s="8">
        <v>50000</v>
      </c>
      <c r="M399" s="8">
        <f>(Table2[[#This Row],[Salary/
Week]]*52)</f>
        <v>2600000</v>
      </c>
      <c r="N399" s="9">
        <v>45094</v>
      </c>
      <c r="O399" s="10">
        <v>47299</v>
      </c>
      <c r="P399" s="4">
        <f t="shared" ca="1" si="38"/>
        <v>3</v>
      </c>
      <c r="Q399" s="4">
        <f t="shared" ca="1" si="39"/>
        <v>2</v>
      </c>
      <c r="R399" s="4">
        <f t="shared" ca="1" si="40"/>
        <v>33</v>
      </c>
      <c r="S399" s="4"/>
      <c r="T399" s="4"/>
      <c r="U399" s="4"/>
      <c r="V399" s="4" t="s">
        <v>397</v>
      </c>
      <c r="W399" s="2" t="s">
        <v>499</v>
      </c>
      <c r="X399" s="4"/>
    </row>
    <row r="400" spans="1:24" x14ac:dyDescent="0.25">
      <c r="A400" s="1" t="s">
        <v>566</v>
      </c>
      <c r="B400" s="4"/>
      <c r="C400" s="5" t="s">
        <v>401</v>
      </c>
      <c r="D400" s="12">
        <v>8</v>
      </c>
      <c r="E400" s="2" t="s">
        <v>602</v>
      </c>
      <c r="F400" s="4" t="s">
        <v>29</v>
      </c>
      <c r="G400" s="4" t="s">
        <v>29</v>
      </c>
      <c r="H400" s="7">
        <v>36395</v>
      </c>
      <c r="I400" s="21">
        <f t="shared" ca="1" si="37"/>
        <v>27</v>
      </c>
      <c r="J400" s="8">
        <v>0</v>
      </c>
      <c r="K400" s="8">
        <v>5000000</v>
      </c>
      <c r="L400" s="8">
        <v>69000</v>
      </c>
      <c r="M400" s="8">
        <f>(Table2[[#This Row],[Salary/
Week]]*52)</f>
        <v>3588000</v>
      </c>
      <c r="N400" s="9">
        <v>44738</v>
      </c>
      <c r="O400" s="10">
        <v>46568</v>
      </c>
      <c r="P400" s="4">
        <f t="shared" ca="1" si="38"/>
        <v>4</v>
      </c>
      <c r="Q400" s="4">
        <f t="shared" ca="1" si="39"/>
        <v>0</v>
      </c>
      <c r="R400" s="4">
        <f t="shared" ca="1" si="40"/>
        <v>9</v>
      </c>
      <c r="S400" s="4"/>
      <c r="T400" s="4"/>
      <c r="U400" s="4"/>
      <c r="V400" s="4" t="s">
        <v>397</v>
      </c>
      <c r="W400" s="2"/>
      <c r="X400" s="4"/>
    </row>
    <row r="401" spans="1:24" x14ac:dyDescent="0.25">
      <c r="A401" s="1" t="s">
        <v>566</v>
      </c>
      <c r="B401" s="4"/>
      <c r="C401" s="5" t="s">
        <v>401</v>
      </c>
      <c r="D401" s="12">
        <v>22</v>
      </c>
      <c r="E401" s="2" t="s">
        <v>605</v>
      </c>
      <c r="F401" s="4" t="s">
        <v>29</v>
      </c>
      <c r="G401" s="4" t="s">
        <v>29</v>
      </c>
      <c r="H401" s="7">
        <v>37174</v>
      </c>
      <c r="I401" s="21">
        <f t="shared" ca="1" si="37"/>
        <v>24</v>
      </c>
      <c r="J401" s="8"/>
      <c r="K401" s="8"/>
      <c r="L401" s="8">
        <v>35000</v>
      </c>
      <c r="M401" s="8">
        <f>(Table2[[#This Row],[Salary/
Week]]*52)</f>
        <v>1820000</v>
      </c>
      <c r="N401" s="9">
        <v>45472</v>
      </c>
      <c r="O401" s="10">
        <v>47664</v>
      </c>
      <c r="P401" s="4">
        <f t="shared" ca="1" si="38"/>
        <v>2</v>
      </c>
      <c r="Q401" s="4">
        <f t="shared" ca="1" si="39"/>
        <v>3</v>
      </c>
      <c r="R401" s="4">
        <f t="shared" ca="1" si="40"/>
        <v>45</v>
      </c>
      <c r="S401" s="4"/>
      <c r="T401" s="4"/>
      <c r="U401" s="4"/>
      <c r="V401" s="4" t="s">
        <v>397</v>
      </c>
      <c r="W401" s="2"/>
      <c r="X401" s="4"/>
    </row>
    <row r="402" spans="1:24" x14ac:dyDescent="0.25">
      <c r="A402" s="1" t="s">
        <v>566</v>
      </c>
      <c r="B402" s="4"/>
      <c r="C402" s="5" t="s">
        <v>400</v>
      </c>
      <c r="D402" s="12">
        <v>10</v>
      </c>
      <c r="E402" s="2" t="s">
        <v>603</v>
      </c>
      <c r="F402" s="4" t="s">
        <v>30</v>
      </c>
      <c r="G402" s="4" t="s">
        <v>30</v>
      </c>
      <c r="H402" s="7">
        <v>36898</v>
      </c>
      <c r="I402" s="21">
        <f t="shared" ca="1" si="37"/>
        <v>25</v>
      </c>
      <c r="J402" s="8">
        <v>600000</v>
      </c>
      <c r="K402" s="8">
        <v>5000000</v>
      </c>
      <c r="L402" s="8">
        <v>35000</v>
      </c>
      <c r="M402" s="8">
        <f>(Table2[[#This Row],[Salary/
Week]]*52)</f>
        <v>1820000</v>
      </c>
      <c r="N402" s="9">
        <v>45103</v>
      </c>
      <c r="O402" s="10">
        <v>46934</v>
      </c>
      <c r="P402" s="4">
        <f t="shared" ca="1" si="38"/>
        <v>3</v>
      </c>
      <c r="Q402" s="4">
        <f t="shared" ca="1" si="39"/>
        <v>1</v>
      </c>
      <c r="R402" s="4">
        <f t="shared" ca="1" si="40"/>
        <v>21</v>
      </c>
      <c r="S402" s="4"/>
      <c r="T402" s="4"/>
      <c r="U402" s="4"/>
      <c r="V402" s="4" t="s">
        <v>396</v>
      </c>
      <c r="W402" s="2"/>
      <c r="X402" s="4"/>
    </row>
    <row r="403" spans="1:24" x14ac:dyDescent="0.25">
      <c r="A403" s="1" t="s">
        <v>566</v>
      </c>
      <c r="B403" s="4"/>
      <c r="C403" s="5" t="s">
        <v>401</v>
      </c>
      <c r="D403" s="12">
        <v>90</v>
      </c>
      <c r="E403" s="2" t="s">
        <v>607</v>
      </c>
      <c r="F403" s="4" t="s">
        <v>30</v>
      </c>
      <c r="G403" s="4" t="s">
        <v>30</v>
      </c>
      <c r="H403" s="7">
        <v>37310</v>
      </c>
      <c r="I403" s="21">
        <f t="shared" ca="1" si="37"/>
        <v>24</v>
      </c>
      <c r="J403" s="8"/>
      <c r="K403" s="8"/>
      <c r="L403" s="8">
        <v>45000</v>
      </c>
      <c r="M403" s="8">
        <f>(Table2[[#This Row],[Salary/
Week]]*52)</f>
        <v>2340000</v>
      </c>
      <c r="N403" s="9">
        <v>46204</v>
      </c>
      <c r="O403" s="10">
        <v>47299</v>
      </c>
      <c r="P403" s="4">
        <f t="shared" ca="1" si="38"/>
        <v>0</v>
      </c>
      <c r="Q403" s="4">
        <f t="shared" ca="1" si="39"/>
        <v>2</v>
      </c>
      <c r="R403" s="4">
        <f t="shared" ca="1" si="40"/>
        <v>33</v>
      </c>
      <c r="S403" s="4"/>
      <c r="T403" s="4"/>
      <c r="U403" s="4"/>
      <c r="V403" s="4" t="s">
        <v>397</v>
      </c>
      <c r="W403" s="2"/>
      <c r="X403" s="4"/>
    </row>
    <row r="404" spans="1:24" x14ac:dyDescent="0.25">
      <c r="A404" s="1" t="s">
        <v>566</v>
      </c>
      <c r="B404" s="4"/>
      <c r="C404" s="5" t="s">
        <v>400</v>
      </c>
      <c r="D404" s="12">
        <v>11</v>
      </c>
      <c r="E404" s="2" t="s">
        <v>608</v>
      </c>
      <c r="F404" s="4" t="s">
        <v>32</v>
      </c>
      <c r="G404" s="4" t="s">
        <v>32</v>
      </c>
      <c r="H404" s="7">
        <v>35794</v>
      </c>
      <c r="I404" s="21">
        <f t="shared" ca="1" si="37"/>
        <v>28</v>
      </c>
      <c r="J404" s="8">
        <v>0</v>
      </c>
      <c r="K404" s="8">
        <v>16000000</v>
      </c>
      <c r="L404" s="8">
        <v>45000</v>
      </c>
      <c r="M404" s="8">
        <f>(Table2[[#This Row],[Salary/
Week]]*52)</f>
        <v>2340000</v>
      </c>
      <c r="N404" s="9">
        <v>46048</v>
      </c>
      <c r="O404" s="10">
        <v>46934</v>
      </c>
      <c r="P404" s="4">
        <f t="shared" ca="1" si="38"/>
        <v>0</v>
      </c>
      <c r="Q404" s="4">
        <f t="shared" ca="1" si="39"/>
        <v>1</v>
      </c>
      <c r="R404" s="4">
        <f t="shared" ca="1" si="40"/>
        <v>21</v>
      </c>
      <c r="S404" s="4"/>
      <c r="T404" s="4"/>
      <c r="U404" s="4"/>
      <c r="V404" s="4" t="s">
        <v>398</v>
      </c>
      <c r="W404" s="2" t="s">
        <v>669</v>
      </c>
      <c r="X404" s="4"/>
    </row>
    <row r="405" spans="1:24" x14ac:dyDescent="0.25">
      <c r="A405" s="1" t="s">
        <v>566</v>
      </c>
      <c r="B405" s="4"/>
      <c r="C405" s="5" t="s">
        <v>401</v>
      </c>
      <c r="D405" s="12">
        <v>18</v>
      </c>
      <c r="E405" s="2" t="s">
        <v>609</v>
      </c>
      <c r="F405" s="4" t="s">
        <v>32</v>
      </c>
      <c r="G405" s="4" t="s">
        <v>32</v>
      </c>
      <c r="H405" s="7">
        <v>38790</v>
      </c>
      <c r="I405" s="21">
        <f t="shared" ca="1" si="37"/>
        <v>20</v>
      </c>
      <c r="J405" s="8">
        <v>0</v>
      </c>
      <c r="K405" s="8">
        <v>0</v>
      </c>
      <c r="L405" s="8">
        <v>24000</v>
      </c>
      <c r="M405" s="8">
        <f>(Table2[[#This Row],[Salary/
Week]]*52)</f>
        <v>1248000</v>
      </c>
      <c r="N405" s="9">
        <v>45677</v>
      </c>
      <c r="O405" s="10">
        <v>46568</v>
      </c>
      <c r="P405" s="4">
        <f t="shared" ca="1" si="38"/>
        <v>1</v>
      </c>
      <c r="Q405" s="4">
        <f t="shared" ca="1" si="39"/>
        <v>0</v>
      </c>
      <c r="R405" s="4">
        <f t="shared" ca="1" si="40"/>
        <v>9</v>
      </c>
      <c r="S405" s="4"/>
      <c r="T405" s="4"/>
      <c r="U405" s="4"/>
      <c r="V405" s="4" t="s">
        <v>397</v>
      </c>
      <c r="W405" s="2"/>
      <c r="X405" s="4"/>
    </row>
    <row r="406" spans="1:24" x14ac:dyDescent="0.25">
      <c r="A406" s="1" t="s">
        <v>566</v>
      </c>
      <c r="B406" s="4"/>
      <c r="C406" s="5" t="s">
        <v>400</v>
      </c>
      <c r="D406" s="12">
        <v>9</v>
      </c>
      <c r="E406" s="2" t="s">
        <v>587</v>
      </c>
      <c r="F406" s="4" t="s">
        <v>31</v>
      </c>
      <c r="G406" s="4" t="s">
        <v>31</v>
      </c>
      <c r="H406" s="7">
        <v>35814</v>
      </c>
      <c r="I406" s="21">
        <f t="shared" ca="1" si="37"/>
        <v>28</v>
      </c>
      <c r="J406" s="8">
        <v>14500000</v>
      </c>
      <c r="K406" s="8">
        <v>25000000</v>
      </c>
      <c r="L406" s="8">
        <v>77000</v>
      </c>
      <c r="M406" s="8">
        <f>(Table2[[#This Row],[Salary/
Week]]*52)</f>
        <v>4004000</v>
      </c>
      <c r="N406" s="9">
        <v>45836</v>
      </c>
      <c r="O406" s="10">
        <v>47299</v>
      </c>
      <c r="P406" s="4">
        <f t="shared" ca="1" si="38"/>
        <v>1</v>
      </c>
      <c r="Q406" s="4">
        <f t="shared" ca="1" si="39"/>
        <v>2</v>
      </c>
      <c r="R406" s="4">
        <f t="shared" ca="1" si="40"/>
        <v>33</v>
      </c>
      <c r="S406" s="4"/>
      <c r="T406" s="4"/>
      <c r="U406" s="4"/>
      <c r="V406" s="4" t="s">
        <v>396</v>
      </c>
      <c r="W406" s="2"/>
      <c r="X406" s="4"/>
    </row>
    <row r="407" spans="1:24" x14ac:dyDescent="0.25">
      <c r="A407" s="1" t="s">
        <v>566</v>
      </c>
      <c r="B407" s="4"/>
      <c r="C407" s="5" t="s">
        <v>401</v>
      </c>
      <c r="D407" s="12">
        <v>12</v>
      </c>
      <c r="E407" s="2" t="s">
        <v>610</v>
      </c>
      <c r="F407" s="4" t="s">
        <v>31</v>
      </c>
      <c r="G407" s="4" t="s">
        <v>31</v>
      </c>
      <c r="H407" s="7">
        <v>38879</v>
      </c>
      <c r="I407" s="21">
        <f t="shared" ca="1" si="37"/>
        <v>20</v>
      </c>
      <c r="J407" s="8">
        <v>1500000</v>
      </c>
      <c r="K407" s="8">
        <v>3000000</v>
      </c>
      <c r="L407" s="8">
        <v>18000</v>
      </c>
      <c r="M407" s="8">
        <f>(Table2[[#This Row],[Salary/
Week]]*52)</f>
        <v>936000</v>
      </c>
      <c r="N407" s="9">
        <v>45889</v>
      </c>
      <c r="O407" s="10">
        <v>47299</v>
      </c>
      <c r="P407" s="4">
        <f t="shared" ca="1" si="38"/>
        <v>1</v>
      </c>
      <c r="Q407" s="4">
        <f t="shared" ca="1" si="39"/>
        <v>2</v>
      </c>
      <c r="R407" s="4">
        <f t="shared" ca="1" si="40"/>
        <v>33</v>
      </c>
      <c r="S407" s="4"/>
      <c r="T407" s="4"/>
      <c r="U407" s="4"/>
      <c r="V407" s="4" t="s">
        <v>397</v>
      </c>
      <c r="W407" s="2"/>
      <c r="X407" s="4"/>
    </row>
    <row r="408" spans="1:24" x14ac:dyDescent="0.25">
      <c r="A408" s="1" t="s">
        <v>566</v>
      </c>
      <c r="B408" s="4"/>
      <c r="C408" s="5" t="s">
        <v>400</v>
      </c>
      <c r="D408" s="12">
        <v>7</v>
      </c>
      <c r="E408" s="2" t="s">
        <v>604</v>
      </c>
      <c r="F408" s="4" t="s">
        <v>35</v>
      </c>
      <c r="G408" s="4" t="s">
        <v>35</v>
      </c>
      <c r="H408" s="7">
        <v>39238</v>
      </c>
      <c r="I408" s="21">
        <f t="shared" ca="1" si="37"/>
        <v>19</v>
      </c>
      <c r="J408" s="8">
        <v>0</v>
      </c>
      <c r="K408" s="8">
        <v>18000000</v>
      </c>
      <c r="L408" s="8">
        <v>50000</v>
      </c>
      <c r="M408" s="8">
        <f>(Table2[[#This Row],[Salary/
Week]]*52)</f>
        <v>2600000</v>
      </c>
      <c r="N408" s="9">
        <v>44947</v>
      </c>
      <c r="O408" s="10">
        <v>47299</v>
      </c>
      <c r="P408" s="4">
        <f t="shared" ca="1" si="38"/>
        <v>3</v>
      </c>
      <c r="Q408" s="4">
        <f t="shared" ca="1" si="39"/>
        <v>2</v>
      </c>
      <c r="R408" s="4">
        <f t="shared" ca="1" si="40"/>
        <v>33</v>
      </c>
      <c r="S408" s="4"/>
      <c r="T408" s="4"/>
      <c r="U408" s="4"/>
      <c r="V408" s="4" t="s">
        <v>397</v>
      </c>
      <c r="W408" s="2"/>
      <c r="X408" s="4"/>
    </row>
    <row r="409" spans="1:24" x14ac:dyDescent="0.25">
      <c r="A409" s="1" t="s">
        <v>566</v>
      </c>
      <c r="B409" s="4"/>
      <c r="C409" s="5" t="s">
        <v>401</v>
      </c>
      <c r="D409" s="12">
        <v>27</v>
      </c>
      <c r="E409" s="2" t="s">
        <v>611</v>
      </c>
      <c r="F409" s="4" t="s">
        <v>35</v>
      </c>
      <c r="G409" s="4" t="s">
        <v>35</v>
      </c>
      <c r="H409" s="7">
        <v>38227</v>
      </c>
      <c r="I409" s="21">
        <f t="shared" ca="1" si="37"/>
        <v>22</v>
      </c>
      <c r="J409" s="8">
        <v>0</v>
      </c>
      <c r="K409" s="8">
        <v>0</v>
      </c>
      <c r="L409" s="8">
        <v>25000</v>
      </c>
      <c r="M409" s="8">
        <f>(Table2[[#This Row],[Salary/
Week]]*52)</f>
        <v>1300000</v>
      </c>
      <c r="N409" s="9">
        <v>46246</v>
      </c>
      <c r="O409" s="10">
        <v>47299</v>
      </c>
      <c r="P409" s="4">
        <f t="shared" ca="1" si="38"/>
        <v>0</v>
      </c>
      <c r="Q409" s="4">
        <f t="shared" ca="1" si="39"/>
        <v>2</v>
      </c>
      <c r="R409" s="4">
        <f t="shared" ca="1" si="40"/>
        <v>33</v>
      </c>
      <c r="S409" s="4"/>
      <c r="T409" s="4"/>
      <c r="U409" s="4"/>
      <c r="V409" s="4" t="s">
        <v>396</v>
      </c>
      <c r="W409" s="2"/>
      <c r="X409" s="4"/>
    </row>
    <row r="410" spans="1:24" x14ac:dyDescent="0.25">
      <c r="A410" s="1" t="s">
        <v>557</v>
      </c>
      <c r="B410" s="4"/>
      <c r="C410" s="5" t="s">
        <v>400</v>
      </c>
      <c r="D410" s="12">
        <v>1</v>
      </c>
      <c r="E410" s="2" t="s">
        <v>612</v>
      </c>
      <c r="F410" s="4" t="s">
        <v>23</v>
      </c>
      <c r="G410" s="4" t="s">
        <v>23</v>
      </c>
      <c r="H410" s="7">
        <v>35504</v>
      </c>
      <c r="I410" s="21">
        <f ca="1">DATEDIF(H410,TODAY(),"Y")</f>
        <v>29</v>
      </c>
      <c r="J410" s="8">
        <v>8000000</v>
      </c>
      <c r="K410" s="8">
        <v>8000000</v>
      </c>
      <c r="L410" s="8">
        <v>45000</v>
      </c>
      <c r="M410" s="8">
        <f>(Table2[[#This Row],[Salary/
Week]]*52)</f>
        <v>2340000</v>
      </c>
      <c r="N410" s="9">
        <v>45474</v>
      </c>
      <c r="O410" s="10">
        <v>47664</v>
      </c>
      <c r="P410" s="4">
        <f ca="1">DATEDIF(N410,TODAY(),"Y")</f>
        <v>2</v>
      </c>
      <c r="Q410" s="4">
        <f ca="1">DATEDIF(TODAY(),O410,"y")</f>
        <v>3</v>
      </c>
      <c r="R410" s="4">
        <f ca="1">DATEDIF(TODAY(),O410,"m")</f>
        <v>45</v>
      </c>
      <c r="S410" s="4"/>
      <c r="T410" s="4"/>
      <c r="U410" s="4"/>
      <c r="V410" s="4" t="s">
        <v>397</v>
      </c>
      <c r="W410" s="2"/>
      <c r="X410" s="4"/>
    </row>
    <row r="411" spans="1:24" x14ac:dyDescent="0.25">
      <c r="A411" s="1" t="s">
        <v>557</v>
      </c>
      <c r="B411" s="4"/>
      <c r="C411" s="5" t="s">
        <v>400</v>
      </c>
      <c r="D411" s="12">
        <v>3</v>
      </c>
      <c r="E411" s="2" t="s">
        <v>613</v>
      </c>
      <c r="F411" s="4" t="s">
        <v>25</v>
      </c>
      <c r="G411" s="4" t="s">
        <v>25</v>
      </c>
      <c r="H411" s="7">
        <v>35389</v>
      </c>
      <c r="I411" s="21">
        <f t="shared" ref="I411:I432" ca="1" si="41">DATEDIF(H411,TODAY(),"Y")</f>
        <v>29</v>
      </c>
      <c r="J411" s="8">
        <v>12000000</v>
      </c>
      <c r="K411" s="8">
        <v>12000000</v>
      </c>
      <c r="L411" s="8">
        <v>55000</v>
      </c>
      <c r="M411" s="8">
        <f>(Table2[[#This Row],[Salary/
Week]]*52)</f>
        <v>2860000</v>
      </c>
      <c r="N411" s="9">
        <v>44757</v>
      </c>
      <c r="O411" s="10">
        <v>47299</v>
      </c>
      <c r="P411" s="4">
        <f t="shared" ref="P411:P432" ca="1" si="42">DATEDIF(N411,TODAY(),"Y")</f>
        <v>4</v>
      </c>
      <c r="Q411" s="4">
        <f t="shared" ref="Q411:Q432" ca="1" si="43">DATEDIF(TODAY(),O411,"y")</f>
        <v>2</v>
      </c>
      <c r="R411" s="4">
        <f t="shared" ref="R411:R432" ca="1" si="44">DATEDIF(TODAY(),O411,"m")</f>
        <v>33</v>
      </c>
      <c r="S411" s="4"/>
      <c r="T411" s="4"/>
      <c r="U411" s="4"/>
      <c r="V411" s="4" t="s">
        <v>396</v>
      </c>
      <c r="W411" s="2"/>
      <c r="X411" s="4"/>
    </row>
    <row r="412" spans="1:24" x14ac:dyDescent="0.25">
      <c r="A412" s="1" t="s">
        <v>557</v>
      </c>
      <c r="B412" s="4"/>
      <c r="C412" s="5" t="s">
        <v>400</v>
      </c>
      <c r="D412" s="12">
        <v>4</v>
      </c>
      <c r="E412" s="2" t="s">
        <v>635</v>
      </c>
      <c r="F412" s="4" t="s">
        <v>26</v>
      </c>
      <c r="G412" s="4" t="s">
        <v>26</v>
      </c>
      <c r="H412" s="7">
        <v>35647</v>
      </c>
      <c r="I412" s="21">
        <f t="shared" ca="1" si="41"/>
        <v>29</v>
      </c>
      <c r="J412" s="8">
        <v>15000000</v>
      </c>
      <c r="K412" s="8">
        <v>15000000</v>
      </c>
      <c r="L412" s="8">
        <v>65000</v>
      </c>
      <c r="M412" s="8">
        <f>(Table2[[#This Row],[Salary/
Week]]*52)</f>
        <v>3380000</v>
      </c>
      <c r="N412" s="9">
        <v>44378</v>
      </c>
      <c r="O412" s="10">
        <v>46934</v>
      </c>
      <c r="P412" s="4">
        <f t="shared" ca="1" si="42"/>
        <v>5</v>
      </c>
      <c r="Q412" s="4">
        <f t="shared" ca="1" si="43"/>
        <v>1</v>
      </c>
      <c r="R412" s="4">
        <f t="shared" ca="1" si="44"/>
        <v>21</v>
      </c>
      <c r="S412" s="4"/>
      <c r="T412" s="4"/>
      <c r="U412" s="4"/>
      <c r="V412" s="4" t="s">
        <v>397</v>
      </c>
      <c r="W412" s="2"/>
      <c r="X412" s="4"/>
    </row>
    <row r="413" spans="1:24" x14ac:dyDescent="0.25">
      <c r="A413" s="1" t="s">
        <v>557</v>
      </c>
      <c r="B413" s="4"/>
      <c r="C413" s="5" t="s">
        <v>400</v>
      </c>
      <c r="D413" s="12">
        <v>5</v>
      </c>
      <c r="E413" s="2" t="s">
        <v>614</v>
      </c>
      <c r="F413" s="4" t="s">
        <v>26</v>
      </c>
      <c r="G413" s="4" t="s">
        <v>26</v>
      </c>
      <c r="H413" s="7">
        <v>36262</v>
      </c>
      <c r="I413" s="21">
        <f t="shared" ca="1" si="41"/>
        <v>27</v>
      </c>
      <c r="J413" s="8">
        <v>14000000</v>
      </c>
      <c r="K413" s="8">
        <v>14000000</v>
      </c>
      <c r="L413" s="8">
        <v>60000</v>
      </c>
      <c r="M413" s="8">
        <f>(Table2[[#This Row],[Salary/
Week]]*52)</f>
        <v>3120000</v>
      </c>
      <c r="N413" s="9">
        <v>44774</v>
      </c>
      <c r="O413" s="10">
        <v>47664</v>
      </c>
      <c r="P413" s="4">
        <f t="shared" ca="1" si="42"/>
        <v>4</v>
      </c>
      <c r="Q413" s="4">
        <f t="shared" ca="1" si="43"/>
        <v>3</v>
      </c>
      <c r="R413" s="4">
        <f t="shared" ca="1" si="44"/>
        <v>45</v>
      </c>
      <c r="S413" s="4"/>
      <c r="T413" s="4"/>
      <c r="U413" s="4"/>
      <c r="V413" s="4" t="s">
        <v>397</v>
      </c>
      <c r="W413" s="2"/>
      <c r="X413" s="4"/>
    </row>
    <row r="414" spans="1:24" x14ac:dyDescent="0.25">
      <c r="A414" s="1" t="s">
        <v>557</v>
      </c>
      <c r="B414" s="4"/>
      <c r="C414" s="5" t="s">
        <v>400</v>
      </c>
      <c r="D414" s="12">
        <v>2</v>
      </c>
      <c r="E414" s="2" t="s">
        <v>615</v>
      </c>
      <c r="F414" s="4" t="s">
        <v>27</v>
      </c>
      <c r="G414" s="4" t="s">
        <v>27</v>
      </c>
      <c r="H414" s="7">
        <v>35460</v>
      </c>
      <c r="I414" s="21">
        <f t="shared" ca="1" si="41"/>
        <v>29</v>
      </c>
      <c r="J414" s="8">
        <v>10000000</v>
      </c>
      <c r="K414" s="8">
        <v>10000000</v>
      </c>
      <c r="L414" s="8">
        <v>50000</v>
      </c>
      <c r="M414" s="8">
        <f>(Table2[[#This Row],[Salary/
Week]]*52)</f>
        <v>2600000</v>
      </c>
      <c r="N414" s="9">
        <v>44423</v>
      </c>
      <c r="O414" s="10">
        <v>46934</v>
      </c>
      <c r="P414" s="4">
        <f t="shared" ca="1" si="42"/>
        <v>5</v>
      </c>
      <c r="Q414" s="4">
        <f t="shared" ca="1" si="43"/>
        <v>1</v>
      </c>
      <c r="R414" s="4">
        <f t="shared" ca="1" si="44"/>
        <v>21</v>
      </c>
      <c r="S414" s="4"/>
      <c r="T414" s="4"/>
      <c r="U414" s="4"/>
      <c r="V414" s="4" t="s">
        <v>397</v>
      </c>
      <c r="W414" s="2"/>
      <c r="X414" s="4"/>
    </row>
    <row r="415" spans="1:24" x14ac:dyDescent="0.25">
      <c r="A415" s="1" t="s">
        <v>557</v>
      </c>
      <c r="B415" s="4" t="s">
        <v>57</v>
      </c>
      <c r="C415" s="5" t="s">
        <v>400</v>
      </c>
      <c r="D415" s="12">
        <v>6</v>
      </c>
      <c r="E415" s="2" t="s">
        <v>616</v>
      </c>
      <c r="F415" s="4" t="s">
        <v>28</v>
      </c>
      <c r="G415" s="4" t="s">
        <v>28</v>
      </c>
      <c r="H415" s="7">
        <v>34960</v>
      </c>
      <c r="I415" s="21">
        <f t="shared" ca="1" si="41"/>
        <v>30</v>
      </c>
      <c r="J415" s="8">
        <v>13000000</v>
      </c>
      <c r="K415" s="8">
        <v>13000000</v>
      </c>
      <c r="L415" s="8">
        <v>58000</v>
      </c>
      <c r="M415" s="8">
        <f>(Table2[[#This Row],[Salary/
Week]]*52)</f>
        <v>3016000</v>
      </c>
      <c r="N415" s="9">
        <v>44012</v>
      </c>
      <c r="O415" s="10">
        <v>46568</v>
      </c>
      <c r="P415" s="4">
        <f t="shared" ca="1" si="42"/>
        <v>6</v>
      </c>
      <c r="Q415" s="4">
        <f t="shared" ca="1" si="43"/>
        <v>0</v>
      </c>
      <c r="R415" s="4">
        <f t="shared" ca="1" si="44"/>
        <v>9</v>
      </c>
      <c r="S415" s="4"/>
      <c r="T415" s="4"/>
      <c r="U415" s="4"/>
      <c r="V415" s="4" t="s">
        <v>397</v>
      </c>
      <c r="W415" s="2"/>
      <c r="X415" s="4"/>
    </row>
    <row r="416" spans="1:24" x14ac:dyDescent="0.25">
      <c r="A416" s="1" t="s">
        <v>557</v>
      </c>
      <c r="B416" s="4" t="s">
        <v>47</v>
      </c>
      <c r="C416" s="5" t="s">
        <v>400</v>
      </c>
      <c r="D416" s="12">
        <v>8</v>
      </c>
      <c r="E416" s="2" t="s">
        <v>617</v>
      </c>
      <c r="F416" s="4" t="s">
        <v>29</v>
      </c>
      <c r="G416" s="4" t="s">
        <v>29</v>
      </c>
      <c r="H416" s="7">
        <v>35848</v>
      </c>
      <c r="I416" s="21">
        <f t="shared" ca="1" si="41"/>
        <v>28</v>
      </c>
      <c r="J416" s="8">
        <v>11000000</v>
      </c>
      <c r="K416" s="8">
        <v>11000000</v>
      </c>
      <c r="L416" s="8">
        <v>52000</v>
      </c>
      <c r="M416" s="8">
        <f>(Table2[[#This Row],[Salary/
Week]]*52)</f>
        <v>2704000</v>
      </c>
      <c r="N416" s="9">
        <v>44762</v>
      </c>
      <c r="O416" s="10">
        <v>47664</v>
      </c>
      <c r="P416" s="4">
        <f t="shared" ca="1" si="42"/>
        <v>4</v>
      </c>
      <c r="Q416" s="4">
        <f t="shared" ca="1" si="43"/>
        <v>3</v>
      </c>
      <c r="R416" s="4">
        <f t="shared" ca="1" si="44"/>
        <v>45</v>
      </c>
      <c r="S416" s="4"/>
      <c r="T416" s="4"/>
      <c r="U416" s="4"/>
      <c r="V416" s="4" t="s">
        <v>397</v>
      </c>
      <c r="W416" s="2"/>
      <c r="X416" s="4"/>
    </row>
    <row r="417" spans="1:24" x14ac:dyDescent="0.25">
      <c r="A417" s="1" t="s">
        <v>557</v>
      </c>
      <c r="B417" s="4"/>
      <c r="C417" s="5" t="s">
        <v>400</v>
      </c>
      <c r="D417" s="12">
        <v>17</v>
      </c>
      <c r="E417" s="2" t="s">
        <v>618</v>
      </c>
      <c r="F417" s="4" t="s">
        <v>30</v>
      </c>
      <c r="G417" s="4" t="s">
        <v>30</v>
      </c>
      <c r="H417" s="7">
        <v>36590</v>
      </c>
      <c r="I417" s="21">
        <f t="shared" ca="1" si="41"/>
        <v>26</v>
      </c>
      <c r="J417" s="8">
        <v>12000000</v>
      </c>
      <c r="K417" s="8">
        <v>12000000</v>
      </c>
      <c r="L417" s="8">
        <v>54000</v>
      </c>
      <c r="M417" s="8">
        <f>(Table2[[#This Row],[Salary/
Week]]*52)</f>
        <v>2808000</v>
      </c>
      <c r="N417" s="9">
        <v>45122</v>
      </c>
      <c r="O417" s="10">
        <v>48029</v>
      </c>
      <c r="P417" s="4">
        <f t="shared" ca="1" si="42"/>
        <v>3</v>
      </c>
      <c r="Q417" s="4">
        <f t="shared" ca="1" si="43"/>
        <v>4</v>
      </c>
      <c r="R417" s="4">
        <f t="shared" ca="1" si="44"/>
        <v>57</v>
      </c>
      <c r="S417" s="4"/>
      <c r="T417" s="4"/>
      <c r="U417" s="4"/>
      <c r="V417" s="4" t="s">
        <v>396</v>
      </c>
      <c r="W417" s="2"/>
      <c r="X417" s="4"/>
    </row>
    <row r="418" spans="1:24" x14ac:dyDescent="0.25">
      <c r="A418" s="1" t="s">
        <v>557</v>
      </c>
      <c r="B418" s="4"/>
      <c r="C418" s="5" t="s">
        <v>400</v>
      </c>
      <c r="D418" s="12">
        <v>10</v>
      </c>
      <c r="E418" s="2" t="s">
        <v>619</v>
      </c>
      <c r="F418" s="4" t="s">
        <v>32</v>
      </c>
      <c r="G418" s="4" t="s">
        <v>32</v>
      </c>
      <c r="H418" s="7">
        <v>35609</v>
      </c>
      <c r="I418" s="21">
        <f t="shared" ca="1" si="41"/>
        <v>29</v>
      </c>
      <c r="J418" s="8">
        <v>16000000</v>
      </c>
      <c r="K418" s="8">
        <v>16000000</v>
      </c>
      <c r="L418" s="8">
        <v>70000</v>
      </c>
      <c r="M418" s="8">
        <f>(Table2[[#This Row],[Salary/
Week]]*52)</f>
        <v>3640000</v>
      </c>
      <c r="N418" s="9">
        <v>44774</v>
      </c>
      <c r="O418" s="10">
        <v>47299</v>
      </c>
      <c r="P418" s="4">
        <f t="shared" ca="1" si="42"/>
        <v>4</v>
      </c>
      <c r="Q418" s="4">
        <f t="shared" ca="1" si="43"/>
        <v>2</v>
      </c>
      <c r="R418" s="4">
        <f t="shared" ca="1" si="44"/>
        <v>33</v>
      </c>
      <c r="S418" s="4"/>
      <c r="T418" s="4"/>
      <c r="U418" s="4"/>
      <c r="V418" s="4" t="s">
        <v>397</v>
      </c>
      <c r="W418" s="2"/>
      <c r="X418" s="4"/>
    </row>
    <row r="419" spans="1:24" x14ac:dyDescent="0.25">
      <c r="A419" s="1" t="s">
        <v>557</v>
      </c>
      <c r="B419" s="4"/>
      <c r="C419" s="5" t="s">
        <v>400</v>
      </c>
      <c r="D419" s="12">
        <v>11</v>
      </c>
      <c r="E419" s="2" t="s">
        <v>620</v>
      </c>
      <c r="F419" s="4" t="s">
        <v>31</v>
      </c>
      <c r="G419" s="4" t="s">
        <v>31</v>
      </c>
      <c r="H419" s="7">
        <v>36472</v>
      </c>
      <c r="I419" s="21">
        <f t="shared" ca="1" si="41"/>
        <v>26</v>
      </c>
      <c r="J419" s="8">
        <v>14000000</v>
      </c>
      <c r="K419" s="8">
        <v>14000000</v>
      </c>
      <c r="L419" s="8">
        <v>60000</v>
      </c>
      <c r="M419" s="8">
        <f>(Table2[[#This Row],[Salary/
Week]]*52)</f>
        <v>3120000</v>
      </c>
      <c r="N419" s="9">
        <v>44743</v>
      </c>
      <c r="O419" s="10">
        <v>47664</v>
      </c>
      <c r="P419" s="4">
        <f t="shared" ca="1" si="42"/>
        <v>4</v>
      </c>
      <c r="Q419" s="4">
        <f t="shared" ca="1" si="43"/>
        <v>3</v>
      </c>
      <c r="R419" s="4">
        <f t="shared" ca="1" si="44"/>
        <v>45</v>
      </c>
      <c r="S419" s="4"/>
      <c r="T419" s="4"/>
      <c r="U419" s="4"/>
      <c r="V419" s="4" t="s">
        <v>397</v>
      </c>
      <c r="W419" s="2"/>
      <c r="X419" s="4"/>
    </row>
    <row r="420" spans="1:24" x14ac:dyDescent="0.25">
      <c r="A420" s="1" t="s">
        <v>557</v>
      </c>
      <c r="B420" s="4"/>
      <c r="C420" s="5" t="s">
        <v>400</v>
      </c>
      <c r="D420" s="12">
        <v>9</v>
      </c>
      <c r="E420" s="2" t="s">
        <v>621</v>
      </c>
      <c r="F420" s="4" t="s">
        <v>35</v>
      </c>
      <c r="G420" s="4" t="s">
        <v>35</v>
      </c>
      <c r="H420" s="7">
        <v>35991</v>
      </c>
      <c r="I420" s="21">
        <f t="shared" ca="1" si="41"/>
        <v>28</v>
      </c>
      <c r="J420" s="8">
        <v>18000000</v>
      </c>
      <c r="K420" s="8">
        <v>18000000</v>
      </c>
      <c r="L420" s="8">
        <v>75000</v>
      </c>
      <c r="M420" s="8">
        <f>(Table2[[#This Row],[Salary/
Week]]*52)</f>
        <v>3900000</v>
      </c>
      <c r="N420" s="9">
        <v>44409</v>
      </c>
      <c r="O420" s="10">
        <v>46934</v>
      </c>
      <c r="P420" s="4">
        <f t="shared" ca="1" si="42"/>
        <v>5</v>
      </c>
      <c r="Q420" s="4">
        <f t="shared" ca="1" si="43"/>
        <v>1</v>
      </c>
      <c r="R420" s="4">
        <f t="shared" ca="1" si="44"/>
        <v>21</v>
      </c>
      <c r="S420" s="4"/>
      <c r="T420" s="4"/>
      <c r="U420" s="4"/>
      <c r="V420" s="4" t="s">
        <v>397</v>
      </c>
      <c r="W420" s="2"/>
      <c r="X420" s="4"/>
    </row>
    <row r="421" spans="1:24" x14ac:dyDescent="0.25">
      <c r="A421" s="1" t="s">
        <v>557</v>
      </c>
      <c r="B421" s="4"/>
      <c r="C421" s="5" t="s">
        <v>401</v>
      </c>
      <c r="D421" s="12">
        <v>7</v>
      </c>
      <c r="E421" s="2" t="s">
        <v>622</v>
      </c>
      <c r="F421" s="4" t="s">
        <v>23</v>
      </c>
      <c r="G421" s="4" t="s">
        <v>23</v>
      </c>
      <c r="H421" s="7">
        <v>36646</v>
      </c>
      <c r="I421" s="21">
        <f t="shared" ca="1" si="41"/>
        <v>26</v>
      </c>
      <c r="J421" s="8">
        <v>20000000</v>
      </c>
      <c r="K421" s="8">
        <v>20000000</v>
      </c>
      <c r="L421" s="8">
        <v>80000</v>
      </c>
      <c r="M421" s="8">
        <f>(Table2[[#This Row],[Salary/
Week]]*52)</f>
        <v>4160000</v>
      </c>
      <c r="N421" s="9">
        <v>45108</v>
      </c>
      <c r="O421" s="10">
        <v>48395</v>
      </c>
      <c r="P421" s="4">
        <f t="shared" ca="1" si="42"/>
        <v>3</v>
      </c>
      <c r="Q421" s="4">
        <f t="shared" ca="1" si="43"/>
        <v>5</v>
      </c>
      <c r="R421" s="4">
        <f t="shared" ca="1" si="44"/>
        <v>69</v>
      </c>
      <c r="S421" s="4"/>
      <c r="T421" s="4"/>
      <c r="U421" s="4"/>
      <c r="V421" s="4" t="s">
        <v>396</v>
      </c>
      <c r="W421" s="2"/>
      <c r="X421" s="4"/>
    </row>
    <row r="422" spans="1:24" x14ac:dyDescent="0.25">
      <c r="A422" s="1" t="s">
        <v>557</v>
      </c>
      <c r="B422" s="4"/>
      <c r="C422" s="5" t="s">
        <v>401</v>
      </c>
      <c r="D422" s="12">
        <v>23</v>
      </c>
      <c r="E422" s="2" t="s">
        <v>623</v>
      </c>
      <c r="F422" s="4" t="s">
        <v>25</v>
      </c>
      <c r="G422" s="4" t="s">
        <v>25</v>
      </c>
      <c r="H422" s="7">
        <v>37591</v>
      </c>
      <c r="I422" s="21">
        <f t="shared" ca="1" si="41"/>
        <v>23</v>
      </c>
      <c r="J422" s="8">
        <v>3000000</v>
      </c>
      <c r="K422" s="8">
        <v>3000000</v>
      </c>
      <c r="L422" s="8">
        <v>20000</v>
      </c>
      <c r="M422" s="8">
        <f>(Table2[[#This Row],[Salary/
Week]]*52)</f>
        <v>1040000</v>
      </c>
      <c r="N422" s="9">
        <v>45474</v>
      </c>
      <c r="O422" s="10">
        <v>47664</v>
      </c>
      <c r="P422" s="4">
        <f t="shared" ca="1" si="42"/>
        <v>2</v>
      </c>
      <c r="Q422" s="4">
        <f t="shared" ca="1" si="43"/>
        <v>3</v>
      </c>
      <c r="R422" s="4">
        <f t="shared" ca="1" si="44"/>
        <v>45</v>
      </c>
      <c r="S422" s="4"/>
      <c r="T422" s="4"/>
      <c r="U422" s="4"/>
      <c r="V422" s="4" t="s">
        <v>396</v>
      </c>
      <c r="W422" s="2"/>
      <c r="X422" s="4"/>
    </row>
    <row r="423" spans="1:24" x14ac:dyDescent="0.25">
      <c r="A423" s="1" t="s">
        <v>557</v>
      </c>
      <c r="B423" s="4"/>
      <c r="C423" s="5" t="s">
        <v>401</v>
      </c>
      <c r="D423" s="12">
        <v>15</v>
      </c>
      <c r="E423" s="2" t="s">
        <v>624</v>
      </c>
      <c r="F423" s="4" t="s">
        <v>26</v>
      </c>
      <c r="G423" s="4" t="s">
        <v>26</v>
      </c>
      <c r="H423" s="7">
        <v>37753</v>
      </c>
      <c r="I423" s="21">
        <f t="shared" ca="1" si="41"/>
        <v>23</v>
      </c>
      <c r="J423" s="8">
        <v>5000000</v>
      </c>
      <c r="K423" s="8">
        <v>5000000</v>
      </c>
      <c r="L423" s="8">
        <v>25000</v>
      </c>
      <c r="M423" s="8">
        <f>(Table2[[#This Row],[Salary/
Week]]*52)</f>
        <v>1300000</v>
      </c>
      <c r="N423" s="9">
        <v>45474</v>
      </c>
      <c r="O423" s="10">
        <v>48029</v>
      </c>
      <c r="P423" s="4">
        <f t="shared" ca="1" si="42"/>
        <v>2</v>
      </c>
      <c r="Q423" s="4">
        <f t="shared" ca="1" si="43"/>
        <v>4</v>
      </c>
      <c r="R423" s="4">
        <f t="shared" ca="1" si="44"/>
        <v>57</v>
      </c>
      <c r="S423" s="4"/>
      <c r="T423" s="4"/>
      <c r="U423" s="4"/>
      <c r="V423" s="4" t="s">
        <v>396</v>
      </c>
      <c r="W423" s="2"/>
      <c r="X423" s="4"/>
    </row>
    <row r="424" spans="1:24" x14ac:dyDescent="0.25">
      <c r="A424" s="1" t="s">
        <v>557</v>
      </c>
      <c r="B424" s="4"/>
      <c r="C424" s="5" t="s">
        <v>401</v>
      </c>
      <c r="D424" s="12">
        <v>25</v>
      </c>
      <c r="E424" s="2" t="s">
        <v>625</v>
      </c>
      <c r="F424" s="4" t="s">
        <v>26</v>
      </c>
      <c r="G424" s="4" t="s">
        <v>26</v>
      </c>
      <c r="H424" s="7">
        <v>37156</v>
      </c>
      <c r="I424" s="21">
        <f t="shared" ca="1" si="41"/>
        <v>24</v>
      </c>
      <c r="J424" s="8">
        <v>6000000</v>
      </c>
      <c r="K424" s="8">
        <v>6000000</v>
      </c>
      <c r="L424" s="8">
        <v>28000</v>
      </c>
      <c r="M424" s="8">
        <f>(Table2[[#This Row],[Salary/
Week]]*52)</f>
        <v>1456000</v>
      </c>
      <c r="N424" s="9">
        <v>45108</v>
      </c>
      <c r="O424" s="10">
        <v>47299</v>
      </c>
      <c r="P424" s="4">
        <f t="shared" ca="1" si="42"/>
        <v>3</v>
      </c>
      <c r="Q424" s="4">
        <f t="shared" ca="1" si="43"/>
        <v>2</v>
      </c>
      <c r="R424" s="4">
        <f t="shared" ca="1" si="44"/>
        <v>33</v>
      </c>
      <c r="S424" s="4"/>
      <c r="T424" s="4"/>
      <c r="U424" s="4"/>
      <c r="V424" s="4" t="s">
        <v>396</v>
      </c>
      <c r="W424" s="2"/>
      <c r="X424" s="4"/>
    </row>
    <row r="425" spans="1:24" x14ac:dyDescent="0.25">
      <c r="A425" s="1" t="s">
        <v>557</v>
      </c>
      <c r="B425" s="4"/>
      <c r="C425" s="5" t="s">
        <v>401</v>
      </c>
      <c r="D425" s="12">
        <v>26</v>
      </c>
      <c r="E425" s="2" t="s">
        <v>626</v>
      </c>
      <c r="F425" s="4" t="s">
        <v>27</v>
      </c>
      <c r="G425" s="4" t="s">
        <v>27</v>
      </c>
      <c r="H425" s="7">
        <v>38032</v>
      </c>
      <c r="I425" s="21">
        <f t="shared" ca="1" si="41"/>
        <v>22</v>
      </c>
      <c r="J425" s="8">
        <v>2500000</v>
      </c>
      <c r="K425" s="8">
        <v>2500000</v>
      </c>
      <c r="L425" s="8">
        <v>15000</v>
      </c>
      <c r="M425" s="8">
        <f>(Table2[[#This Row],[Salary/
Week]]*52)</f>
        <v>780000</v>
      </c>
      <c r="N425" s="9">
        <v>45474</v>
      </c>
      <c r="O425" s="10">
        <v>48395</v>
      </c>
      <c r="P425" s="4">
        <f t="shared" ca="1" si="42"/>
        <v>2</v>
      </c>
      <c r="Q425" s="4">
        <f t="shared" ca="1" si="43"/>
        <v>5</v>
      </c>
      <c r="R425" s="4">
        <f t="shared" ca="1" si="44"/>
        <v>69</v>
      </c>
      <c r="S425" s="4"/>
      <c r="T425" s="4"/>
      <c r="U425" s="4"/>
      <c r="V425" s="4" t="s">
        <v>397</v>
      </c>
      <c r="W425" s="2"/>
      <c r="X425" s="4"/>
    </row>
    <row r="426" spans="1:24" x14ac:dyDescent="0.25">
      <c r="A426" s="1" t="s">
        <v>557</v>
      </c>
      <c r="B426" s="4"/>
      <c r="C426" s="5" t="s">
        <v>401</v>
      </c>
      <c r="D426" s="12">
        <v>22</v>
      </c>
      <c r="E426" s="2" t="s">
        <v>627</v>
      </c>
      <c r="F426" s="4" t="s">
        <v>28</v>
      </c>
      <c r="G426" s="4" t="s">
        <v>28</v>
      </c>
      <c r="H426" s="7">
        <v>37478</v>
      </c>
      <c r="I426" s="21">
        <f t="shared" ca="1" si="41"/>
        <v>24</v>
      </c>
      <c r="J426" s="8">
        <v>4500000</v>
      </c>
      <c r="K426" s="8">
        <v>4500000</v>
      </c>
      <c r="L426" s="8">
        <v>22000</v>
      </c>
      <c r="M426" s="8">
        <f>(Table2[[#This Row],[Salary/
Week]]*52)</f>
        <v>1144000</v>
      </c>
      <c r="N426" s="9">
        <v>45474</v>
      </c>
      <c r="O426" s="10">
        <v>47664</v>
      </c>
      <c r="P426" s="4">
        <f t="shared" ca="1" si="42"/>
        <v>2</v>
      </c>
      <c r="Q426" s="4">
        <f t="shared" ca="1" si="43"/>
        <v>3</v>
      </c>
      <c r="R426" s="4">
        <f t="shared" ca="1" si="44"/>
        <v>45</v>
      </c>
      <c r="S426" s="4"/>
      <c r="T426" s="4"/>
      <c r="U426" s="4"/>
      <c r="V426" s="4" t="s">
        <v>397</v>
      </c>
      <c r="W426" s="2"/>
      <c r="X426" s="4"/>
    </row>
    <row r="427" spans="1:24" x14ac:dyDescent="0.25">
      <c r="A427" s="1" t="s">
        <v>557</v>
      </c>
      <c r="B427" s="4"/>
      <c r="C427" s="5" t="s">
        <v>401</v>
      </c>
      <c r="D427" s="12">
        <v>28</v>
      </c>
      <c r="E427" s="2" t="s">
        <v>628</v>
      </c>
      <c r="F427" s="4" t="s">
        <v>29</v>
      </c>
      <c r="G427" s="4" t="s">
        <v>29</v>
      </c>
      <c r="H427" s="7">
        <v>37899</v>
      </c>
      <c r="I427" s="21">
        <f t="shared" ca="1" si="41"/>
        <v>22</v>
      </c>
      <c r="J427" s="8">
        <v>5500000</v>
      </c>
      <c r="K427" s="8">
        <v>5500000</v>
      </c>
      <c r="L427" s="8">
        <v>26000</v>
      </c>
      <c r="M427" s="8">
        <f>(Table2[[#This Row],[Salary/
Week]]*52)</f>
        <v>1352000</v>
      </c>
      <c r="N427" s="9">
        <v>45474</v>
      </c>
      <c r="O427" s="10">
        <v>48029</v>
      </c>
      <c r="P427" s="4">
        <f t="shared" ca="1" si="42"/>
        <v>2</v>
      </c>
      <c r="Q427" s="4">
        <f t="shared" ca="1" si="43"/>
        <v>4</v>
      </c>
      <c r="R427" s="4">
        <f t="shared" ca="1" si="44"/>
        <v>57</v>
      </c>
      <c r="S427" s="4"/>
      <c r="T427" s="4"/>
      <c r="U427" s="4"/>
      <c r="V427" s="4" t="s">
        <v>398</v>
      </c>
      <c r="W427" s="2"/>
      <c r="X427" s="4"/>
    </row>
    <row r="428" spans="1:24" x14ac:dyDescent="0.25">
      <c r="A428" s="1" t="s">
        <v>557</v>
      </c>
      <c r="B428" s="4"/>
      <c r="C428" s="5" t="s">
        <v>401</v>
      </c>
      <c r="D428" s="12">
        <v>32</v>
      </c>
      <c r="E428" s="2" t="s">
        <v>629</v>
      </c>
      <c r="F428" s="4" t="s">
        <v>30</v>
      </c>
      <c r="G428" s="4" t="s">
        <v>30</v>
      </c>
      <c r="H428" s="7">
        <v>37364</v>
      </c>
      <c r="I428" s="21">
        <f t="shared" ca="1" si="41"/>
        <v>24</v>
      </c>
      <c r="J428" s="8">
        <v>5000000</v>
      </c>
      <c r="K428" s="8">
        <v>5000000</v>
      </c>
      <c r="L428" s="8">
        <v>24000</v>
      </c>
      <c r="M428" s="8">
        <f>(Table2[[#This Row],[Salary/
Week]]*52)</f>
        <v>1248000</v>
      </c>
      <c r="N428" s="9">
        <v>45474</v>
      </c>
      <c r="O428" s="10">
        <v>47664</v>
      </c>
      <c r="P428" s="4">
        <f t="shared" ca="1" si="42"/>
        <v>2</v>
      </c>
      <c r="Q428" s="4">
        <f t="shared" ca="1" si="43"/>
        <v>3</v>
      </c>
      <c r="R428" s="4">
        <f t="shared" ca="1" si="44"/>
        <v>45</v>
      </c>
      <c r="S428" s="4"/>
      <c r="T428" s="4"/>
      <c r="U428" s="4"/>
      <c r="V428" s="4" t="s">
        <v>397</v>
      </c>
      <c r="W428" s="2"/>
      <c r="X428" s="4"/>
    </row>
    <row r="429" spans="1:24" x14ac:dyDescent="0.25">
      <c r="A429" s="1" t="s">
        <v>557</v>
      </c>
      <c r="B429" s="4"/>
      <c r="C429" s="5" t="s">
        <v>401</v>
      </c>
      <c r="D429" s="12">
        <v>19</v>
      </c>
      <c r="E429" s="2" t="s">
        <v>630</v>
      </c>
      <c r="F429" s="4" t="s">
        <v>32</v>
      </c>
      <c r="G429" s="4" t="s">
        <v>32</v>
      </c>
      <c r="H429" s="7">
        <v>38292</v>
      </c>
      <c r="I429" s="21">
        <f t="shared" ca="1" si="41"/>
        <v>21</v>
      </c>
      <c r="J429" s="8">
        <v>2000000</v>
      </c>
      <c r="K429" s="8">
        <v>2000000</v>
      </c>
      <c r="L429" s="8">
        <v>12000</v>
      </c>
      <c r="M429" s="8">
        <f>(Table2[[#This Row],[Salary/
Week]]*52)</f>
        <v>624000</v>
      </c>
      <c r="N429" s="9">
        <v>45474</v>
      </c>
      <c r="O429" s="10">
        <v>48395</v>
      </c>
      <c r="P429" s="4">
        <f t="shared" ca="1" si="42"/>
        <v>2</v>
      </c>
      <c r="Q429" s="4">
        <f t="shared" ca="1" si="43"/>
        <v>5</v>
      </c>
      <c r="R429" s="4">
        <f t="shared" ca="1" si="44"/>
        <v>69</v>
      </c>
      <c r="S429" s="4"/>
      <c r="T429" s="4"/>
      <c r="U429" s="4"/>
      <c r="V429" s="4" t="s">
        <v>397</v>
      </c>
      <c r="W429" s="2"/>
      <c r="X429" s="4"/>
    </row>
    <row r="430" spans="1:24" x14ac:dyDescent="0.25">
      <c r="A430" s="1" t="s">
        <v>557</v>
      </c>
      <c r="B430" s="4"/>
      <c r="C430" s="5" t="s">
        <v>401</v>
      </c>
      <c r="D430" s="12">
        <v>33</v>
      </c>
      <c r="E430" s="2" t="s">
        <v>631</v>
      </c>
      <c r="F430" s="4" t="s">
        <v>31</v>
      </c>
      <c r="G430" s="4" t="s">
        <v>31</v>
      </c>
      <c r="H430" s="7">
        <v>37237</v>
      </c>
      <c r="I430" s="21">
        <f t="shared" ca="1" si="41"/>
        <v>24</v>
      </c>
      <c r="J430" s="8">
        <v>6000000</v>
      </c>
      <c r="K430" s="8">
        <v>6000000</v>
      </c>
      <c r="L430" s="8">
        <v>28000</v>
      </c>
      <c r="M430" s="8">
        <f>(Table2[[#This Row],[Salary/
Week]]*52)</f>
        <v>1456000</v>
      </c>
      <c r="N430" s="9">
        <v>45108</v>
      </c>
      <c r="O430" s="10">
        <v>47299</v>
      </c>
      <c r="P430" s="4">
        <f t="shared" ca="1" si="42"/>
        <v>3</v>
      </c>
      <c r="Q430" s="4">
        <f t="shared" ca="1" si="43"/>
        <v>2</v>
      </c>
      <c r="R430" s="4">
        <f t="shared" ca="1" si="44"/>
        <v>33</v>
      </c>
      <c r="S430" s="4"/>
      <c r="T430" s="4"/>
      <c r="U430" s="4"/>
      <c r="V430" s="4" t="s">
        <v>398</v>
      </c>
      <c r="W430" s="2"/>
      <c r="X430" s="4"/>
    </row>
    <row r="431" spans="1:24" x14ac:dyDescent="0.25">
      <c r="A431" s="1" t="s">
        <v>557</v>
      </c>
      <c r="B431" s="4"/>
      <c r="C431" s="5" t="s">
        <v>401</v>
      </c>
      <c r="D431" s="12">
        <v>27</v>
      </c>
      <c r="E431" s="2" t="s">
        <v>632</v>
      </c>
      <c r="F431" s="4" t="s">
        <v>35</v>
      </c>
      <c r="G431" s="4" t="s">
        <v>35</v>
      </c>
      <c r="H431" s="7">
        <v>37797</v>
      </c>
      <c r="I431" s="21">
        <f t="shared" ca="1" si="41"/>
        <v>23</v>
      </c>
      <c r="J431" s="8">
        <v>4000000</v>
      </c>
      <c r="K431" s="8">
        <v>4000000</v>
      </c>
      <c r="L431" s="8">
        <v>20000</v>
      </c>
      <c r="M431" s="8">
        <f>(Table2[[#This Row],[Salary/
Week]]*52)</f>
        <v>1040000</v>
      </c>
      <c r="N431" s="9">
        <v>45474</v>
      </c>
      <c r="O431" s="10">
        <v>48029</v>
      </c>
      <c r="P431" s="4">
        <f t="shared" ca="1" si="42"/>
        <v>2</v>
      </c>
      <c r="Q431" s="4">
        <f t="shared" ca="1" si="43"/>
        <v>4</v>
      </c>
      <c r="R431" s="4">
        <f t="shared" ca="1" si="44"/>
        <v>57</v>
      </c>
      <c r="S431" s="4"/>
      <c r="T431" s="4"/>
      <c r="U431" s="4"/>
      <c r="V431" s="4" t="s">
        <v>396</v>
      </c>
      <c r="W431" s="2"/>
      <c r="X431" s="4"/>
    </row>
    <row r="432" spans="1:24" x14ac:dyDescent="0.25">
      <c r="A432" s="1" t="s">
        <v>557</v>
      </c>
      <c r="B432" s="4"/>
      <c r="C432" s="5" t="s">
        <v>401</v>
      </c>
      <c r="D432" s="12">
        <v>18</v>
      </c>
      <c r="E432" s="2" t="s">
        <v>633</v>
      </c>
      <c r="F432" s="4" t="s">
        <v>35</v>
      </c>
      <c r="G432" s="4" t="s">
        <v>35</v>
      </c>
      <c r="H432" s="7">
        <v>36777</v>
      </c>
      <c r="I432" s="21">
        <f t="shared" ca="1" si="41"/>
        <v>26</v>
      </c>
      <c r="J432" s="8">
        <v>8000000</v>
      </c>
      <c r="K432" s="8">
        <v>8000000</v>
      </c>
      <c r="L432" s="8">
        <v>35000</v>
      </c>
      <c r="M432" s="8">
        <f>(Table2[[#This Row],[Salary/
Week]]*52)</f>
        <v>1820000</v>
      </c>
      <c r="N432" s="9">
        <v>44743</v>
      </c>
      <c r="O432" s="10">
        <v>46934</v>
      </c>
      <c r="P432" s="4">
        <f t="shared" ca="1" si="42"/>
        <v>4</v>
      </c>
      <c r="Q432" s="4">
        <f t="shared" ca="1" si="43"/>
        <v>1</v>
      </c>
      <c r="R432" s="4">
        <f t="shared" ca="1" si="44"/>
        <v>21</v>
      </c>
      <c r="S432" s="4"/>
      <c r="T432" s="4"/>
      <c r="U432" s="4"/>
      <c r="V432" s="4" t="s">
        <v>398</v>
      </c>
      <c r="W432" s="2"/>
      <c r="X432" s="4"/>
    </row>
    <row r="433" spans="1:24" x14ac:dyDescent="0.25">
      <c r="A433" s="1" t="s">
        <v>557</v>
      </c>
      <c r="B433" s="4"/>
      <c r="C433" s="5" t="s">
        <v>401</v>
      </c>
      <c r="D433" s="12">
        <v>30</v>
      </c>
      <c r="E433" s="2" t="s">
        <v>634</v>
      </c>
      <c r="F433" s="4" t="s">
        <v>25</v>
      </c>
      <c r="G433" s="4" t="s">
        <v>25</v>
      </c>
      <c r="H433" s="7">
        <v>37337</v>
      </c>
      <c r="I433" s="21">
        <f t="shared" ref="I433:I434" ca="1" si="45">DATEDIF(H433,TODAY(),"Y")</f>
        <v>24</v>
      </c>
      <c r="J433" s="8">
        <v>4500000</v>
      </c>
      <c r="K433" s="8">
        <v>4500000</v>
      </c>
      <c r="L433" s="8">
        <v>22000</v>
      </c>
      <c r="M433" s="8">
        <f>(Table2[[#This Row],[Salary/
Week]]*52)</f>
        <v>1144000</v>
      </c>
      <c r="N433" s="9">
        <v>45474</v>
      </c>
      <c r="O433" s="10">
        <v>47664</v>
      </c>
      <c r="P433" s="4">
        <f t="shared" ref="P433:P434" ca="1" si="46">DATEDIF(N433,TODAY(),"Y")</f>
        <v>2</v>
      </c>
      <c r="Q433" s="4">
        <f t="shared" ref="Q433:Q434" ca="1" si="47">DATEDIF(TODAY(),O433,"y")</f>
        <v>3</v>
      </c>
      <c r="R433" s="4">
        <f t="shared" ref="R433:R434" ca="1" si="48">DATEDIF(TODAY(),O433,"m")</f>
        <v>45</v>
      </c>
      <c r="S433" s="4"/>
      <c r="T433" s="4"/>
      <c r="U433" s="4"/>
      <c r="V433" s="4" t="s">
        <v>397</v>
      </c>
      <c r="W433" s="2"/>
      <c r="X433" s="4"/>
    </row>
    <row r="434" spans="1:24" x14ac:dyDescent="0.25">
      <c r="A434" s="1" t="s">
        <v>557</v>
      </c>
      <c r="B434" s="4"/>
      <c r="C434" s="5" t="s">
        <v>402</v>
      </c>
      <c r="D434" s="12">
        <v>35</v>
      </c>
      <c r="E434" s="2" t="s">
        <v>636</v>
      </c>
      <c r="F434" s="4" t="s">
        <v>26</v>
      </c>
      <c r="G434" s="4" t="s">
        <v>26</v>
      </c>
      <c r="H434" s="7">
        <v>38857</v>
      </c>
      <c r="I434" s="21">
        <f t="shared" ca="1" si="45"/>
        <v>20</v>
      </c>
      <c r="J434" s="8">
        <v>500000</v>
      </c>
      <c r="K434" s="8">
        <v>500000</v>
      </c>
      <c r="L434" s="8">
        <v>5000</v>
      </c>
      <c r="M434" s="8">
        <f>(Table2[[#This Row],[Salary/
Week]]*52)</f>
        <v>260000</v>
      </c>
      <c r="N434" s="9">
        <v>45474</v>
      </c>
      <c r="O434" s="10">
        <v>47664</v>
      </c>
      <c r="P434" s="4">
        <f t="shared" ca="1" si="46"/>
        <v>2</v>
      </c>
      <c r="Q434" s="4">
        <f t="shared" ca="1" si="47"/>
        <v>3</v>
      </c>
      <c r="R434" s="4">
        <f t="shared" ca="1" si="48"/>
        <v>45</v>
      </c>
      <c r="S434" s="4"/>
      <c r="T434" s="4"/>
      <c r="U434" s="4"/>
      <c r="V434" s="4" t="s">
        <v>397</v>
      </c>
      <c r="W434" s="2"/>
      <c r="X434" s="4"/>
    </row>
    <row r="435" spans="1:24" x14ac:dyDescent="0.25">
      <c r="A435" s="26" t="s">
        <v>399</v>
      </c>
      <c r="B435" s="27">
        <f>SUBTOTAL(103,Table2[LEADERSHIP])</f>
        <v>38</v>
      </c>
      <c r="C435" s="26"/>
      <c r="D435" s="26"/>
      <c r="E435" s="28">
        <f>SUBTOTAL(103,Table2[PLAYER NAME])</f>
        <v>433</v>
      </c>
      <c r="F435" s="26"/>
      <c r="G435" s="26"/>
      <c r="H435" s="29">
        <f>MAX(Table2[DOB])-MIN(Table2[DOB])</f>
        <v>7761</v>
      </c>
      <c r="I435" s="26">
        <f ca="1">SUBTOTAL(101,Table2[AGE])</f>
        <v>24.856812933025402</v>
      </c>
      <c r="J435" s="30">
        <f>SUBTOTAL(109,Table2[Signed for])</f>
        <v>6033891000</v>
      </c>
      <c r="K435" s="30">
        <f>SUBTOTAL(109,Table2[Market 
Value])</f>
        <v>8932895000</v>
      </c>
      <c r="L435" s="30">
        <f>SUBTOTAL(109,Table2[Salary/
Week])</f>
        <v>45875042</v>
      </c>
      <c r="M435" s="30">
        <f>SUBTOTAL(109,Table2[Salary/
Year])</f>
        <v>2385502184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</row>
  </sheetData>
  <phoneticPr fontId="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DBB46-FE6A-44B4-B04F-2AF03271B373}">
  <dimension ref="A1:O70"/>
  <sheetViews>
    <sheetView showGridLines="0" topLeftCell="A33" workbookViewId="0">
      <selection activeCell="E24" sqref="E24"/>
    </sheetView>
  </sheetViews>
  <sheetFormatPr defaultRowHeight="15" x14ac:dyDescent="0.25"/>
  <cols>
    <col min="1" max="1" width="9" bestFit="1" customWidth="1"/>
    <col min="2" max="2" width="22" bestFit="1" customWidth="1"/>
    <col min="3" max="3" width="9" bestFit="1" customWidth="1"/>
    <col min="4" max="4" width="15.85546875" bestFit="1" customWidth="1"/>
    <col min="5" max="5" width="13.7109375" bestFit="1" customWidth="1"/>
    <col min="6" max="6" width="24.28515625" bestFit="1" customWidth="1"/>
    <col min="7" max="7" width="20.5703125" bestFit="1" customWidth="1"/>
    <col min="8" max="8" width="19.42578125" bestFit="1" customWidth="1"/>
    <col min="9" max="9" width="17.28515625" bestFit="1" customWidth="1"/>
    <col min="10" max="10" width="13" bestFit="1" customWidth="1"/>
    <col min="11" max="11" width="13.7109375" bestFit="1" customWidth="1"/>
    <col min="12" max="12" width="23" bestFit="1" customWidth="1"/>
    <col min="13" max="13" width="27.7109375" bestFit="1" customWidth="1"/>
    <col min="14" max="14" width="14.7109375" bestFit="1" customWidth="1"/>
    <col min="15" max="15" width="15.85546875" bestFit="1" customWidth="1"/>
  </cols>
  <sheetData>
    <row r="1" spans="1:15" x14ac:dyDescent="0.25">
      <c r="A1" s="1" t="s">
        <v>422</v>
      </c>
      <c r="B1" s="1" t="s">
        <v>403</v>
      </c>
      <c r="C1" s="1" t="s">
        <v>411</v>
      </c>
      <c r="D1" s="1" t="s">
        <v>404</v>
      </c>
      <c r="E1" s="1" t="s">
        <v>405</v>
      </c>
      <c r="F1" s="1" t="s">
        <v>406</v>
      </c>
      <c r="G1" s="1" t="s">
        <v>407</v>
      </c>
      <c r="H1" s="1" t="s">
        <v>14</v>
      </c>
      <c r="I1" s="1" t="s">
        <v>408</v>
      </c>
      <c r="J1" s="1" t="s">
        <v>7</v>
      </c>
      <c r="K1" s="1" t="s">
        <v>24</v>
      </c>
      <c r="L1" s="1" t="s">
        <v>409</v>
      </c>
      <c r="M1" s="1" t="s">
        <v>412</v>
      </c>
      <c r="N1" s="1" t="s">
        <v>410</v>
      </c>
      <c r="O1" s="1" t="s">
        <v>672</v>
      </c>
    </row>
    <row r="2" spans="1:15" x14ac:dyDescent="0.25">
      <c r="A2" s="1">
        <v>10</v>
      </c>
      <c r="B2" s="2" t="s">
        <v>322</v>
      </c>
      <c r="C2" s="6" t="s">
        <v>32</v>
      </c>
      <c r="D2" s="4" t="s">
        <v>305</v>
      </c>
      <c r="E2" s="4" t="s">
        <v>186</v>
      </c>
      <c r="F2" s="19">
        <v>0</v>
      </c>
      <c r="G2" s="10">
        <v>46165</v>
      </c>
      <c r="H2" s="10">
        <v>47664</v>
      </c>
      <c r="I2" s="8">
        <v>175000</v>
      </c>
      <c r="J2" s="20">
        <v>36695</v>
      </c>
      <c r="K2" s="4">
        <f ca="1">DATEDIF(Table3[[#This Row],[DOB]],TODAY(),"Y")</f>
        <v>26</v>
      </c>
      <c r="L2" s="4">
        <f>DATEDIF(Table3[[#This Row],[DOB]],Table3[[#This Row],[Transfer Date]],"Y")</f>
        <v>25</v>
      </c>
      <c r="M2" s="4">
        <f>Table3[[#This Row],[Age at Transfer]]+Table3[[#This Row],[Contract]]</f>
        <v>29</v>
      </c>
      <c r="N2" s="4">
        <f>DATEDIF(Table3[[#This Row],[Transfer Date]],Table3[[#This Row],[Contract End]],"Y")</f>
        <v>4</v>
      </c>
      <c r="O2" s="33" t="b">
        <v>1</v>
      </c>
    </row>
    <row r="3" spans="1:15" x14ac:dyDescent="0.25">
      <c r="A3" s="1">
        <v>8</v>
      </c>
      <c r="B3" s="2" t="s">
        <v>447</v>
      </c>
      <c r="C3" s="6" t="s">
        <v>28</v>
      </c>
      <c r="D3" s="4" t="s">
        <v>444</v>
      </c>
      <c r="E3" s="4" t="s">
        <v>236</v>
      </c>
      <c r="F3" s="19">
        <v>25000000</v>
      </c>
      <c r="G3" s="10">
        <v>46196</v>
      </c>
      <c r="H3" s="10">
        <v>48029</v>
      </c>
      <c r="I3" s="8">
        <v>100000</v>
      </c>
      <c r="J3" s="20">
        <v>37750</v>
      </c>
      <c r="K3" s="4">
        <f ca="1">DATEDIF(Table3[[#This Row],[DOB]],TODAY(),"Y")</f>
        <v>23</v>
      </c>
      <c r="L3" s="4">
        <f>DATEDIF(Table3[[#This Row],[DOB]],Table3[[#This Row],[Transfer Date]],"Y")</f>
        <v>23</v>
      </c>
      <c r="M3" s="4">
        <f>Table3[[#This Row],[Age at Transfer]]+Table3[[#This Row],[Contract]]</f>
        <v>28</v>
      </c>
      <c r="N3" s="4">
        <f>DATEDIF(Table3[[#This Row],[Transfer Date]],Table3[[#This Row],[Contract End]],"Y")</f>
        <v>5</v>
      </c>
      <c r="O3" s="33" t="b">
        <v>1</v>
      </c>
    </row>
    <row r="4" spans="1:15" x14ac:dyDescent="0.25">
      <c r="A4" s="1">
        <v>4</v>
      </c>
      <c r="B4" s="2" t="s">
        <v>455</v>
      </c>
      <c r="C4" s="6" t="s">
        <v>26</v>
      </c>
      <c r="D4" s="4" t="s">
        <v>444</v>
      </c>
      <c r="E4" s="4" t="s">
        <v>41</v>
      </c>
      <c r="F4" s="19">
        <v>20000000</v>
      </c>
      <c r="G4" s="10">
        <v>46196</v>
      </c>
      <c r="H4" s="10">
        <v>48395</v>
      </c>
      <c r="I4" s="8">
        <v>85000</v>
      </c>
      <c r="J4" s="20">
        <v>37469</v>
      </c>
      <c r="K4" s="4">
        <f ca="1">DATEDIF(Table3[[#This Row],[DOB]],TODAY(),"Y")</f>
        <v>24</v>
      </c>
      <c r="L4" s="4">
        <f>DATEDIF(Table3[[#This Row],[DOB]],Table3[[#This Row],[Transfer Date]],"Y")</f>
        <v>23</v>
      </c>
      <c r="M4" s="4">
        <f>Table3[[#This Row],[Age at Transfer]]+Table3[[#This Row],[Contract]]</f>
        <v>29</v>
      </c>
      <c r="N4" s="4">
        <f>DATEDIF(Table3[[#This Row],[Transfer Date]],Table3[[#This Row],[Contract End]],"Y")</f>
        <v>6</v>
      </c>
      <c r="O4" s="33" t="b">
        <v>1</v>
      </c>
    </row>
    <row r="5" spans="1:15" x14ac:dyDescent="0.25">
      <c r="A5" s="1" t="s">
        <v>57</v>
      </c>
      <c r="B5" s="2" t="s">
        <v>166</v>
      </c>
      <c r="C5" s="6" t="s">
        <v>25</v>
      </c>
      <c r="D5" s="4" t="s">
        <v>163</v>
      </c>
      <c r="E5" s="4" t="s">
        <v>444</v>
      </c>
      <c r="F5" s="19">
        <v>0</v>
      </c>
      <c r="G5" s="10">
        <v>46201</v>
      </c>
      <c r="H5" s="10">
        <v>46568</v>
      </c>
      <c r="I5" s="8">
        <v>100000</v>
      </c>
      <c r="J5" s="20">
        <v>33879</v>
      </c>
      <c r="K5" s="4">
        <f ca="1">DATEDIF(Table3[[#This Row],[DOB]],TODAY(),"Y")</f>
        <v>33</v>
      </c>
      <c r="L5" s="4">
        <f>DATEDIF(Table3[[#This Row],[DOB]],Table3[[#This Row],[Transfer Date]],"Y")</f>
        <v>33</v>
      </c>
      <c r="M5" s="4">
        <f>Table3[[#This Row],[Age at Transfer]]+Table3[[#This Row],[Contract]]</f>
        <v>34</v>
      </c>
      <c r="N5" s="4">
        <f>DATEDIF(Table3[[#This Row],[Transfer Date]],Table3[[#This Row],[Contract End]],"Y")</f>
        <v>1</v>
      </c>
      <c r="O5" s="33" t="b">
        <v>1</v>
      </c>
    </row>
    <row r="6" spans="1:15" x14ac:dyDescent="0.25">
      <c r="A6" s="1"/>
      <c r="B6" s="2" t="s">
        <v>164</v>
      </c>
      <c r="C6" s="6" t="s">
        <v>23</v>
      </c>
      <c r="D6" s="4" t="s">
        <v>163</v>
      </c>
      <c r="E6" s="4" t="s">
        <v>444</v>
      </c>
      <c r="F6" s="19">
        <v>0</v>
      </c>
      <c r="G6" s="10">
        <v>46202</v>
      </c>
      <c r="H6" s="10">
        <v>47299</v>
      </c>
      <c r="I6" s="8">
        <v>90000</v>
      </c>
      <c r="J6" s="20">
        <v>35836</v>
      </c>
      <c r="K6" s="4">
        <f ca="1">DATEDIF(Table3[[#This Row],[DOB]],TODAY(),"Y")</f>
        <v>28</v>
      </c>
      <c r="L6" s="4">
        <f>DATEDIF(Table3[[#This Row],[DOB]],Table3[[#This Row],[Transfer Date]],"Y")</f>
        <v>28</v>
      </c>
      <c r="M6" s="4">
        <f>Table3[[#This Row],[Age at Transfer]]+Table3[[#This Row],[Contract]]</f>
        <v>31</v>
      </c>
      <c r="N6" s="4">
        <f>DATEDIF(Table3[[#This Row],[Transfer Date]],Table3[[#This Row],[Contract End]],"Y")</f>
        <v>3</v>
      </c>
      <c r="O6" s="33" t="b">
        <v>1</v>
      </c>
    </row>
    <row r="7" spans="1:15" x14ac:dyDescent="0.25">
      <c r="A7" s="1"/>
      <c r="B7" s="2" t="s">
        <v>121</v>
      </c>
      <c r="C7" s="6" t="s">
        <v>26</v>
      </c>
      <c r="D7" s="4" t="s">
        <v>114</v>
      </c>
      <c r="E7" s="4" t="s">
        <v>425</v>
      </c>
      <c r="F7" s="19" t="s">
        <v>425</v>
      </c>
      <c r="G7" s="10">
        <v>46203</v>
      </c>
      <c r="H7" s="10" t="s">
        <v>425</v>
      </c>
      <c r="I7" s="8" t="s">
        <v>425</v>
      </c>
      <c r="J7" s="20">
        <v>35223</v>
      </c>
      <c r="K7" s="4">
        <f ca="1">DATEDIF(Table3[[#This Row],[DOB]],TODAY(),"Y")</f>
        <v>30</v>
      </c>
      <c r="L7" s="4">
        <f>DATEDIF(Table3[[#This Row],[DOB]],Table3[[#This Row],[Transfer Date]],"Y")</f>
        <v>30</v>
      </c>
      <c r="M7" s="4" t="e">
        <f>Table3[[#This Row],[Age at Transfer]]+Table3[[#This Row],[Contract]]</f>
        <v>#VALUE!</v>
      </c>
      <c r="N7" s="4" t="e">
        <f>DATEDIF(Table3[[#This Row],[Transfer Date]],Table3[[#This Row],[Contract End]],"Y")</f>
        <v>#VALUE!</v>
      </c>
      <c r="O7" s="33" t="b">
        <v>0</v>
      </c>
    </row>
    <row r="8" spans="1:15" x14ac:dyDescent="0.25">
      <c r="A8" s="1"/>
      <c r="B8" s="2" t="s">
        <v>125</v>
      </c>
      <c r="C8" s="6" t="s">
        <v>27</v>
      </c>
      <c r="D8" s="4" t="s">
        <v>114</v>
      </c>
      <c r="E8" s="4" t="s">
        <v>425</v>
      </c>
      <c r="F8" s="19" t="s">
        <v>425</v>
      </c>
      <c r="G8" s="10">
        <v>46203</v>
      </c>
      <c r="H8" s="10" t="s">
        <v>425</v>
      </c>
      <c r="I8" s="8" t="s">
        <v>425</v>
      </c>
      <c r="J8" s="20">
        <v>35884</v>
      </c>
      <c r="K8" s="4">
        <f ca="1">DATEDIF(Table3[[#This Row],[DOB]],TODAY(),"Y")</f>
        <v>28</v>
      </c>
      <c r="L8" s="4">
        <f>DATEDIF(Table3[[#This Row],[DOB]],Table3[[#This Row],[Transfer Date]],"Y")</f>
        <v>28</v>
      </c>
      <c r="M8" s="4" t="e">
        <f>Table3[[#This Row],[Age at Transfer]]+Table3[[#This Row],[Contract]]</f>
        <v>#VALUE!</v>
      </c>
      <c r="N8" s="4" t="e">
        <f>DATEDIF(Table3[[#This Row],[Transfer Date]],Table3[[#This Row],[Contract End]],"Y")</f>
        <v>#VALUE!</v>
      </c>
      <c r="O8" s="33" t="b">
        <v>0</v>
      </c>
    </row>
    <row r="9" spans="1:15" x14ac:dyDescent="0.25">
      <c r="A9" s="1"/>
      <c r="B9" s="2" t="s">
        <v>126</v>
      </c>
      <c r="C9" s="6" t="s">
        <v>27</v>
      </c>
      <c r="D9" s="4" t="s">
        <v>114</v>
      </c>
      <c r="E9" s="4" t="s">
        <v>425</v>
      </c>
      <c r="F9" s="19" t="s">
        <v>425</v>
      </c>
      <c r="G9" s="10">
        <v>46203</v>
      </c>
      <c r="H9" s="10" t="s">
        <v>425</v>
      </c>
      <c r="I9" s="8" t="s">
        <v>425</v>
      </c>
      <c r="J9" s="20">
        <v>35259</v>
      </c>
      <c r="K9" s="4">
        <f ca="1">DATEDIF(Table3[[#This Row],[DOB]],TODAY(),"Y")</f>
        <v>30</v>
      </c>
      <c r="L9" s="4">
        <f>DATEDIF(Table3[[#This Row],[DOB]],Table3[[#This Row],[Transfer Date]],"Y")</f>
        <v>29</v>
      </c>
      <c r="M9" s="4" t="e">
        <f>Table3[[#This Row],[Age at Transfer]]+Table3[[#This Row],[Contract]]</f>
        <v>#VALUE!</v>
      </c>
      <c r="N9" s="4" t="e">
        <f>DATEDIF(Table3[[#This Row],[Transfer Date]],Table3[[#This Row],[Contract End]],"Y")</f>
        <v>#VALUE!</v>
      </c>
      <c r="O9" s="33" t="b">
        <v>0</v>
      </c>
    </row>
    <row r="10" spans="1:15" x14ac:dyDescent="0.25">
      <c r="A10" s="1">
        <v>2</v>
      </c>
      <c r="B10" s="2" t="s">
        <v>446</v>
      </c>
      <c r="C10" s="6" t="s">
        <v>25</v>
      </c>
      <c r="D10" s="4" t="s">
        <v>444</v>
      </c>
      <c r="E10" s="4" t="s">
        <v>210</v>
      </c>
      <c r="F10" s="19">
        <v>0</v>
      </c>
      <c r="G10" s="10">
        <v>46204</v>
      </c>
      <c r="H10" s="10">
        <v>47664</v>
      </c>
      <c r="I10" s="8">
        <v>78000</v>
      </c>
      <c r="J10" s="20">
        <v>34767</v>
      </c>
      <c r="K10" s="4">
        <f ca="1">DATEDIF(Table3[[#This Row],[DOB]],TODAY(),"Y")</f>
        <v>31</v>
      </c>
      <c r="L10" s="4">
        <f>DATEDIF(Table3[[#This Row],[DOB]],Table3[[#This Row],[Transfer Date]],"Y")</f>
        <v>31</v>
      </c>
      <c r="M10" s="4">
        <f>Table3[[#This Row],[Age at Transfer]]+Table3[[#This Row],[Contract]]</f>
        <v>34</v>
      </c>
      <c r="N10" s="4">
        <f>DATEDIF(Table3[[#This Row],[Transfer Date]],Table3[[#This Row],[Contract End]],"Y")</f>
        <v>3</v>
      </c>
      <c r="O10" s="33" t="b">
        <v>1</v>
      </c>
    </row>
    <row r="11" spans="1:15" x14ac:dyDescent="0.25">
      <c r="A11" s="1"/>
      <c r="B11" s="2" t="s">
        <v>289</v>
      </c>
      <c r="C11" s="6" t="s">
        <v>26</v>
      </c>
      <c r="D11" s="4" t="s">
        <v>283</v>
      </c>
      <c r="E11" s="4" t="s">
        <v>163</v>
      </c>
      <c r="F11" s="19">
        <v>0</v>
      </c>
      <c r="G11" s="10">
        <v>46221</v>
      </c>
      <c r="H11" s="10">
        <v>47664</v>
      </c>
      <c r="I11" s="8">
        <v>135000</v>
      </c>
      <c r="J11" s="20">
        <v>37560</v>
      </c>
      <c r="K11" s="4">
        <f ca="1">DATEDIF(Table3[[#This Row],[DOB]],TODAY(),"Y")</f>
        <v>23</v>
      </c>
      <c r="L11" s="4">
        <f>DATEDIF(Table3[[#This Row],[DOB]],Table3[[#This Row],[Transfer Date]],"Y")</f>
        <v>23</v>
      </c>
      <c r="M11" s="4">
        <f>Table3[[#This Row],[Age at Transfer]]+Table3[[#This Row],[Contract]]</f>
        <v>26</v>
      </c>
      <c r="N11" s="4">
        <f>DATEDIF(Table3[[#This Row],[Transfer Date]],Table3[[#This Row],[Contract End]],"Y")</f>
        <v>3</v>
      </c>
      <c r="O11" s="33" t="b">
        <v>1</v>
      </c>
    </row>
    <row r="12" spans="1:15" x14ac:dyDescent="0.25">
      <c r="A12" s="1"/>
      <c r="B12" s="2" t="s">
        <v>259</v>
      </c>
      <c r="C12" s="6" t="s">
        <v>35</v>
      </c>
      <c r="D12" s="4" t="s">
        <v>236</v>
      </c>
      <c r="E12" s="4" t="s">
        <v>41</v>
      </c>
      <c r="F12" s="19">
        <v>55000000</v>
      </c>
      <c r="G12" s="10">
        <v>46225</v>
      </c>
      <c r="H12" s="10">
        <v>48760</v>
      </c>
      <c r="I12" s="8">
        <v>125000</v>
      </c>
      <c r="J12" s="20">
        <v>37734</v>
      </c>
      <c r="K12" s="4">
        <f ca="1">DATEDIF(Table3[[#This Row],[DOB]],TODAY(),"Y")</f>
        <v>23</v>
      </c>
      <c r="L12" s="4">
        <f>DATEDIF(Table3[[#This Row],[DOB]],Table3[[#This Row],[Transfer Date]],"Y")</f>
        <v>23</v>
      </c>
      <c r="M12" s="4">
        <f>Table3[[#This Row],[Age at Transfer]]+Table3[[#This Row],[Contract]]</f>
        <v>29</v>
      </c>
      <c r="N12" s="4">
        <f>DATEDIF(Table3[[#This Row],[Transfer Date]],Table3[[#This Row],[Contract End]],"Y")</f>
        <v>6</v>
      </c>
      <c r="O12" s="33" t="b">
        <v>1</v>
      </c>
    </row>
    <row r="13" spans="1:15" x14ac:dyDescent="0.25">
      <c r="A13" s="1">
        <v>15</v>
      </c>
      <c r="B13" s="2" t="s">
        <v>364</v>
      </c>
      <c r="C13" s="6" t="s">
        <v>29</v>
      </c>
      <c r="D13" s="4" t="s">
        <v>350</v>
      </c>
      <c r="E13" s="4" t="s">
        <v>114</v>
      </c>
      <c r="F13" s="19">
        <v>0</v>
      </c>
      <c r="G13" s="10">
        <v>46225</v>
      </c>
      <c r="H13" s="10">
        <v>48029</v>
      </c>
      <c r="I13" s="8">
        <v>250000</v>
      </c>
      <c r="J13" s="20">
        <v>36776</v>
      </c>
      <c r="K13" s="4">
        <f ca="1">DATEDIF(Table3[[#This Row],[DOB]],TODAY(),"Y")</f>
        <v>26</v>
      </c>
      <c r="L13" s="4">
        <f>DATEDIF(Table3[[#This Row],[DOB]],Table3[[#This Row],[Transfer Date]],"Y")</f>
        <v>25</v>
      </c>
      <c r="M13" s="4">
        <f>Table3[[#This Row],[Age at Transfer]]+Table3[[#This Row],[Contract]]</f>
        <v>29</v>
      </c>
      <c r="N13" s="4">
        <f>DATEDIF(Table3[[#This Row],[Transfer Date]],Table3[[#This Row],[Contract End]],"Y")</f>
        <v>4</v>
      </c>
      <c r="O13" s="33" t="b">
        <v>1</v>
      </c>
    </row>
    <row r="14" spans="1:15" x14ac:dyDescent="0.25">
      <c r="A14" s="1">
        <v>10</v>
      </c>
      <c r="B14" s="2" t="s">
        <v>281</v>
      </c>
      <c r="C14" s="6" t="s">
        <v>35</v>
      </c>
      <c r="D14" s="4" t="s">
        <v>260</v>
      </c>
      <c r="E14" s="4" t="s">
        <v>236</v>
      </c>
      <c r="F14" s="19">
        <v>75000000</v>
      </c>
      <c r="G14" s="10">
        <v>46225</v>
      </c>
      <c r="H14" s="10">
        <v>50221</v>
      </c>
      <c r="I14" s="8">
        <v>225000</v>
      </c>
      <c r="J14" s="20">
        <v>37953</v>
      </c>
      <c r="K14" s="4">
        <f ca="1">DATEDIF(Table3[[#This Row],[DOB]],TODAY(),"Y")</f>
        <v>22</v>
      </c>
      <c r="L14" s="4">
        <f>DATEDIF(Table3[[#This Row],[DOB]],Table3[[#This Row],[Transfer Date]],"Y")</f>
        <v>22</v>
      </c>
      <c r="M14" s="4">
        <f>Table3[[#This Row],[Age at Transfer]]+Table3[[#This Row],[Contract]]</f>
        <v>32</v>
      </c>
      <c r="N14" s="4">
        <f>DATEDIF(Table3[[#This Row],[Transfer Date]],Table3[[#This Row],[Contract End]],"Y")</f>
        <v>10</v>
      </c>
      <c r="O14" s="33" t="b">
        <v>1</v>
      </c>
    </row>
    <row r="15" spans="1:15" x14ac:dyDescent="0.25">
      <c r="A15" s="1"/>
      <c r="B15" s="2" t="s">
        <v>313</v>
      </c>
      <c r="C15" s="6" t="s">
        <v>26</v>
      </c>
      <c r="D15" s="4" t="s">
        <v>305</v>
      </c>
      <c r="E15" s="4" t="s">
        <v>163</v>
      </c>
      <c r="F15" s="19">
        <v>0</v>
      </c>
      <c r="G15" s="10">
        <v>46226</v>
      </c>
      <c r="H15" s="10">
        <v>47664</v>
      </c>
      <c r="I15" s="8">
        <v>300000</v>
      </c>
      <c r="J15" s="20">
        <v>35798</v>
      </c>
      <c r="K15" s="4">
        <f ca="1">DATEDIF(Table3[[#This Row],[DOB]],TODAY(),"Y")</f>
        <v>28</v>
      </c>
      <c r="L15" s="4">
        <f>DATEDIF(Table3[[#This Row],[DOB]],Table3[[#This Row],[Transfer Date]],"Y")</f>
        <v>28</v>
      </c>
      <c r="M15" s="4">
        <f>Table3[[#This Row],[Age at Transfer]]+Table3[[#This Row],[Contract]]</f>
        <v>31</v>
      </c>
      <c r="N15" s="4">
        <f>DATEDIF(Table3[[#This Row],[Transfer Date]],Table3[[#This Row],[Contract End]],"Y")</f>
        <v>3</v>
      </c>
      <c r="O15" s="33" t="b">
        <v>1</v>
      </c>
    </row>
    <row r="16" spans="1:15" x14ac:dyDescent="0.25">
      <c r="A16" s="1"/>
      <c r="B16" s="2" t="s">
        <v>249</v>
      </c>
      <c r="C16" s="6" t="s">
        <v>28</v>
      </c>
      <c r="D16" s="4" t="s">
        <v>236</v>
      </c>
      <c r="E16" s="4" t="s">
        <v>163</v>
      </c>
      <c r="F16" s="19">
        <v>65000000</v>
      </c>
      <c r="G16" s="10">
        <v>46227</v>
      </c>
      <c r="H16" s="10">
        <v>48395</v>
      </c>
      <c r="I16" s="8">
        <v>500000</v>
      </c>
      <c r="J16" s="20">
        <v>36341</v>
      </c>
      <c r="K16" s="4">
        <f ca="1">DATEDIF(Table3[[#This Row],[DOB]],TODAY(),"Y")</f>
        <v>27</v>
      </c>
      <c r="L16" s="4">
        <f>DATEDIF(Table3[[#This Row],[DOB]],Table3[[#This Row],[Transfer Date]],"Y")</f>
        <v>27</v>
      </c>
      <c r="M16" s="4">
        <f>Table3[[#This Row],[Age at Transfer]]+Table3[[#This Row],[Contract]]</f>
        <v>32</v>
      </c>
      <c r="N16" s="4">
        <f>DATEDIF(Table3[[#This Row],[Transfer Date]],Table3[[#This Row],[Contract End]],"Y")</f>
        <v>5</v>
      </c>
      <c r="O16" s="33" t="b">
        <v>1</v>
      </c>
    </row>
    <row r="17" spans="1:15" x14ac:dyDescent="0.25">
      <c r="A17" s="1"/>
      <c r="B17" s="2" t="s">
        <v>105</v>
      </c>
      <c r="C17" s="6" t="s">
        <v>29</v>
      </c>
      <c r="D17" s="4" t="s">
        <v>91</v>
      </c>
      <c r="E17" s="4" t="s">
        <v>413</v>
      </c>
      <c r="F17" s="19">
        <v>50000000</v>
      </c>
      <c r="G17" s="10">
        <v>46227</v>
      </c>
      <c r="H17" s="10">
        <v>47664</v>
      </c>
      <c r="I17" s="8">
        <v>200000</v>
      </c>
      <c r="J17" s="20">
        <v>35634</v>
      </c>
      <c r="K17" s="4">
        <f ca="1">DATEDIF(Table3[[#This Row],[DOB]],TODAY(),"Y")</f>
        <v>29</v>
      </c>
      <c r="L17" s="4">
        <f>DATEDIF(Table3[[#This Row],[DOB]],Table3[[#This Row],[Transfer Date]],"Y")</f>
        <v>29</v>
      </c>
      <c r="M17" s="4">
        <f>Table3[[#This Row],[Age at Transfer]]+Table3[[#This Row],[Contract]]</f>
        <v>32</v>
      </c>
      <c r="N17" s="4">
        <f>DATEDIF(Table3[[#This Row],[Transfer Date]],Table3[[#This Row],[Contract End]],"Y")</f>
        <v>3</v>
      </c>
      <c r="O17" s="33" t="b">
        <v>1</v>
      </c>
    </row>
    <row r="18" spans="1:15" x14ac:dyDescent="0.25">
      <c r="A18" s="1"/>
      <c r="B18" s="2" t="s">
        <v>277</v>
      </c>
      <c r="C18" s="6" t="s">
        <v>32</v>
      </c>
      <c r="D18" s="4" t="s">
        <v>260</v>
      </c>
      <c r="E18" s="4" t="s">
        <v>91</v>
      </c>
      <c r="F18" s="19">
        <v>150000000</v>
      </c>
      <c r="G18" s="10">
        <v>46228</v>
      </c>
      <c r="H18" s="10">
        <v>49856</v>
      </c>
      <c r="I18" s="8">
        <v>400000</v>
      </c>
      <c r="J18" s="20">
        <v>37980</v>
      </c>
      <c r="K18" s="4">
        <f ca="1">DATEDIF(Table3[[#This Row],[DOB]],TODAY(),"Y")</f>
        <v>22</v>
      </c>
      <c r="L18" s="4">
        <f>DATEDIF(Table3[[#This Row],[DOB]],Table3[[#This Row],[Transfer Date]],"Y")</f>
        <v>22</v>
      </c>
      <c r="M18" s="4">
        <f>Table3[[#This Row],[Age at Transfer]]+Table3[[#This Row],[Contract]]</f>
        <v>31</v>
      </c>
      <c r="N18" s="4">
        <f>DATEDIF(Table3[[#This Row],[Transfer Date]],Table3[[#This Row],[Contract End]],"Y")</f>
        <v>9</v>
      </c>
      <c r="O18" s="33" t="b">
        <v>1</v>
      </c>
    </row>
    <row r="19" spans="1:15" x14ac:dyDescent="0.25">
      <c r="A19" s="1"/>
      <c r="B19" s="2" t="s">
        <v>355</v>
      </c>
      <c r="C19" s="6" t="s">
        <v>25</v>
      </c>
      <c r="D19" s="4" t="s">
        <v>350</v>
      </c>
      <c r="E19" s="4" t="s">
        <v>163</v>
      </c>
      <c r="F19" s="19">
        <v>85000000</v>
      </c>
      <c r="G19" s="10">
        <v>46228</v>
      </c>
      <c r="H19" s="10">
        <v>49125</v>
      </c>
      <c r="I19" s="8">
        <v>350000</v>
      </c>
      <c r="J19" s="20">
        <v>39277</v>
      </c>
      <c r="K19" s="4">
        <f ca="1">DATEDIF(Table3[[#This Row],[DOB]],TODAY(),"Y")</f>
        <v>19</v>
      </c>
      <c r="L19" s="4">
        <f>DATEDIF(Table3[[#This Row],[DOB]],Table3[[#This Row],[Transfer Date]],"Y")</f>
        <v>19</v>
      </c>
      <c r="M19" s="4">
        <f>Table3[[#This Row],[Age at Transfer]]+Table3[[#This Row],[Contract]]</f>
        <v>26</v>
      </c>
      <c r="N19" s="4">
        <f>DATEDIF(Table3[[#This Row],[Transfer Date]],Table3[[#This Row],[Contract End]],"Y")</f>
        <v>7</v>
      </c>
      <c r="O19" s="33" t="b">
        <v>1</v>
      </c>
    </row>
    <row r="20" spans="1:15" x14ac:dyDescent="0.25">
      <c r="A20" s="1"/>
      <c r="B20" s="2" t="s">
        <v>109</v>
      </c>
      <c r="C20" s="6" t="s">
        <v>32</v>
      </c>
      <c r="D20" s="4" t="s">
        <v>163</v>
      </c>
      <c r="E20" s="4" t="s">
        <v>371</v>
      </c>
      <c r="F20" s="19">
        <v>45000000</v>
      </c>
      <c r="G20" s="10">
        <v>46228</v>
      </c>
      <c r="H20" s="10">
        <v>48395</v>
      </c>
      <c r="I20" s="8">
        <v>80000</v>
      </c>
      <c r="J20" s="20">
        <v>35673</v>
      </c>
      <c r="K20" s="4">
        <f ca="1">DATEDIF(Table3[[#This Row],[DOB]],TODAY(),"Y")</f>
        <v>29</v>
      </c>
      <c r="L20" s="4">
        <f>DATEDIF(Table3[[#This Row],[DOB]],Table3[[#This Row],[Transfer Date]],"Y")</f>
        <v>28</v>
      </c>
      <c r="M20" s="4">
        <f>Table3[[#This Row],[Age at Transfer]]+Table3[[#This Row],[Contract]]</f>
        <v>33</v>
      </c>
      <c r="N20" s="4">
        <f>DATEDIF(Table3[[#This Row],[Transfer Date]],Table3[[#This Row],[Contract End]],"Y")</f>
        <v>5</v>
      </c>
      <c r="O20" s="33" t="b">
        <v>1</v>
      </c>
    </row>
    <row r="21" spans="1:15" x14ac:dyDescent="0.25">
      <c r="A21" s="1"/>
      <c r="B21" s="2" t="s">
        <v>65</v>
      </c>
      <c r="C21" s="6" t="s">
        <v>35</v>
      </c>
      <c r="D21" s="4" t="s">
        <v>41</v>
      </c>
      <c r="E21" s="4" t="s">
        <v>414</v>
      </c>
      <c r="F21" s="19">
        <v>35000000</v>
      </c>
      <c r="G21" s="10">
        <v>46228</v>
      </c>
      <c r="H21" s="10">
        <v>48029</v>
      </c>
      <c r="I21" s="8">
        <v>150000</v>
      </c>
      <c r="J21" s="20">
        <v>35485</v>
      </c>
      <c r="K21" s="4">
        <f ca="1">DATEDIF(Table3[[#This Row],[DOB]],TODAY(),"Y")</f>
        <v>29</v>
      </c>
      <c r="L21" s="4">
        <f>DATEDIF(Table3[[#This Row],[DOB]],Table3[[#This Row],[Transfer Date]],"Y")</f>
        <v>29</v>
      </c>
      <c r="M21" s="4">
        <f>Table3[[#This Row],[Age at Transfer]]+Table3[[#This Row],[Contract]]</f>
        <v>33</v>
      </c>
      <c r="N21" s="4">
        <f>DATEDIF(Table3[[#This Row],[Transfer Date]],Table3[[#This Row],[Contract End]],"Y")</f>
        <v>4</v>
      </c>
      <c r="O21" s="33" t="b">
        <v>0</v>
      </c>
    </row>
    <row r="22" spans="1:15" x14ac:dyDescent="0.25">
      <c r="A22" s="1"/>
      <c r="B22" s="2" t="s">
        <v>87</v>
      </c>
      <c r="C22" s="6" t="s">
        <v>31</v>
      </c>
      <c r="D22" s="4" t="s">
        <v>66</v>
      </c>
      <c r="E22" s="4" t="s">
        <v>283</v>
      </c>
      <c r="F22" s="19">
        <v>0</v>
      </c>
      <c r="G22" s="10">
        <v>46228</v>
      </c>
      <c r="H22" s="10">
        <v>47299</v>
      </c>
      <c r="I22" s="8">
        <v>55000</v>
      </c>
      <c r="J22" s="20">
        <v>36280</v>
      </c>
      <c r="K22" s="4">
        <f ca="1">DATEDIF(Table3[[#This Row],[DOB]],TODAY(),"Y")</f>
        <v>27</v>
      </c>
      <c r="L22" s="4">
        <f>DATEDIF(Table3[[#This Row],[DOB]],Table3[[#This Row],[Transfer Date]],"Y")</f>
        <v>27</v>
      </c>
      <c r="M22" s="4">
        <f>Table3[[#This Row],[Age at Transfer]]+Table3[[#This Row],[Contract]]</f>
        <v>29</v>
      </c>
      <c r="N22" s="4">
        <f>DATEDIF(Table3[[#This Row],[Transfer Date]],Table3[[#This Row],[Contract End]],"Y")</f>
        <v>2</v>
      </c>
      <c r="O22" s="33" t="b">
        <v>1</v>
      </c>
    </row>
    <row r="23" spans="1:15" x14ac:dyDescent="0.25">
      <c r="A23" s="1"/>
      <c r="B23" s="2" t="s">
        <v>60</v>
      </c>
      <c r="C23" s="6" t="s">
        <v>32</v>
      </c>
      <c r="D23" s="4" t="s">
        <v>41</v>
      </c>
      <c r="E23" s="4" t="s">
        <v>415</v>
      </c>
      <c r="F23" s="19">
        <v>2400000</v>
      </c>
      <c r="G23" s="10">
        <v>46229</v>
      </c>
      <c r="H23" s="10">
        <v>47664</v>
      </c>
      <c r="I23" s="8">
        <v>178000</v>
      </c>
      <c r="J23" s="20">
        <v>35510</v>
      </c>
      <c r="K23" s="4">
        <f ca="1">DATEDIF(Table3[[#This Row],[DOB]],TODAY(),"Y")</f>
        <v>29</v>
      </c>
      <c r="L23" s="4">
        <f>DATEDIF(Table3[[#This Row],[DOB]],Table3[[#This Row],[Transfer Date]],"Y")</f>
        <v>29</v>
      </c>
      <c r="M23" s="4">
        <f>Table3[[#This Row],[Age at Transfer]]+Table3[[#This Row],[Contract]]</f>
        <v>32</v>
      </c>
      <c r="N23" s="4">
        <f>DATEDIF(Table3[[#This Row],[Transfer Date]],Table3[[#This Row],[Contract End]],"Y")</f>
        <v>3</v>
      </c>
      <c r="O23" s="33" t="b">
        <v>0</v>
      </c>
    </row>
    <row r="24" spans="1:15" x14ac:dyDescent="0.25">
      <c r="A24" s="1"/>
      <c r="B24" s="2" t="s">
        <v>49</v>
      </c>
      <c r="C24" s="6" t="s">
        <v>26</v>
      </c>
      <c r="D24" s="4" t="s">
        <v>41</v>
      </c>
      <c r="E24" s="4" t="s">
        <v>415</v>
      </c>
      <c r="F24" s="19">
        <v>25000000</v>
      </c>
      <c r="G24" s="10">
        <v>46230</v>
      </c>
      <c r="H24" s="10">
        <v>48029</v>
      </c>
      <c r="I24" s="8">
        <v>126000</v>
      </c>
      <c r="J24" s="20">
        <v>38050</v>
      </c>
      <c r="K24" s="4">
        <f ca="1">DATEDIF(Table3[[#This Row],[DOB]],TODAY(),"Y")</f>
        <v>22</v>
      </c>
      <c r="L24" s="4">
        <f>DATEDIF(Table3[[#This Row],[DOB]],Table3[[#This Row],[Transfer Date]],"Y")</f>
        <v>22</v>
      </c>
      <c r="M24" s="4">
        <f>Table3[[#This Row],[Age at Transfer]]+Table3[[#This Row],[Contract]]</f>
        <v>26</v>
      </c>
      <c r="N24" s="4">
        <f>DATEDIF(Table3[[#This Row],[Transfer Date]],Table3[[#This Row],[Contract End]],"Y")</f>
        <v>4</v>
      </c>
      <c r="O24" s="33" t="b">
        <v>1</v>
      </c>
    </row>
    <row r="25" spans="1:15" x14ac:dyDescent="0.25">
      <c r="A25" s="1">
        <v>13</v>
      </c>
      <c r="B25" s="2" t="s">
        <v>419</v>
      </c>
      <c r="C25" s="6" t="s">
        <v>26</v>
      </c>
      <c r="D25" s="4" t="s">
        <v>420</v>
      </c>
      <c r="E25" s="4" t="s">
        <v>41</v>
      </c>
      <c r="F25" s="19">
        <v>50000000</v>
      </c>
      <c r="G25" s="10">
        <v>46230</v>
      </c>
      <c r="H25" s="10">
        <v>49125</v>
      </c>
      <c r="I25" s="8">
        <v>85000</v>
      </c>
      <c r="J25" s="20">
        <v>37631</v>
      </c>
      <c r="K25" s="4">
        <f ca="1">DATEDIF(Table3[[#This Row],[DOB]],TODAY(),"Y")</f>
        <v>23</v>
      </c>
      <c r="L25" s="4">
        <f>DATEDIF(Table3[[#This Row],[DOB]],Table3[[#This Row],[Transfer Date]],"Y")</f>
        <v>23</v>
      </c>
      <c r="M25" s="4">
        <f>Table3[[#This Row],[Age at Transfer]]+Table3[[#This Row],[Contract]]</f>
        <v>30</v>
      </c>
      <c r="N25" s="4">
        <f>DATEDIF(Table3[[#This Row],[Transfer Date]],Table3[[#This Row],[Contract End]],"Y")</f>
        <v>7</v>
      </c>
      <c r="O25" s="33" t="b">
        <v>1</v>
      </c>
    </row>
    <row r="26" spans="1:15" x14ac:dyDescent="0.25">
      <c r="A26" s="1">
        <v>82</v>
      </c>
      <c r="B26" s="2" t="s">
        <v>77</v>
      </c>
      <c r="C26" s="6" t="s">
        <v>27</v>
      </c>
      <c r="D26" s="4" t="s">
        <v>66</v>
      </c>
      <c r="E26" s="4" t="s">
        <v>420</v>
      </c>
      <c r="F26" s="19">
        <v>0</v>
      </c>
      <c r="G26" s="10">
        <v>46230</v>
      </c>
      <c r="H26" s="10">
        <v>46568</v>
      </c>
      <c r="I26" s="8">
        <v>80000</v>
      </c>
      <c r="J26" s="20">
        <v>35231</v>
      </c>
      <c r="K26" s="4">
        <f ca="1">DATEDIF(Table3[[#This Row],[DOB]],TODAY(),"Y")</f>
        <v>30</v>
      </c>
      <c r="L26" s="4">
        <f>DATEDIF(Table3[[#This Row],[DOB]],Table3[[#This Row],[Transfer Date]],"Y")</f>
        <v>30</v>
      </c>
      <c r="M26" s="4">
        <f>Table3[[#This Row],[Age at Transfer]]+Table3[[#This Row],[Contract]]</f>
        <v>30</v>
      </c>
      <c r="N26" s="4">
        <f>DATEDIF(Table3[[#This Row],[Transfer Date]],Table3[[#This Row],[Contract End]],"Y")</f>
        <v>0</v>
      </c>
      <c r="O26" s="33" t="b">
        <v>1</v>
      </c>
    </row>
    <row r="27" spans="1:15" x14ac:dyDescent="0.25">
      <c r="A27" s="1"/>
      <c r="B27" s="2" t="s">
        <v>97</v>
      </c>
      <c r="C27" s="6" t="s">
        <v>26</v>
      </c>
      <c r="D27" s="4" t="s">
        <v>91</v>
      </c>
      <c r="E27" s="4" t="s">
        <v>371</v>
      </c>
      <c r="F27" s="19">
        <v>0</v>
      </c>
      <c r="G27" s="10">
        <v>46230</v>
      </c>
      <c r="H27" s="10">
        <v>48029</v>
      </c>
      <c r="I27" s="8">
        <v>85000</v>
      </c>
      <c r="J27" s="20">
        <v>38208</v>
      </c>
      <c r="K27" s="4">
        <f ca="1">DATEDIF(Table3[[#This Row],[DOB]],TODAY(),"Y")</f>
        <v>22</v>
      </c>
      <c r="L27" s="4">
        <f>DATEDIF(Table3[[#This Row],[DOB]],Table3[[#This Row],[Transfer Date]],"Y")</f>
        <v>21</v>
      </c>
      <c r="M27" s="4">
        <f>Table3[[#This Row],[Age at Transfer]]+Table3[[#This Row],[Contract]]</f>
        <v>25</v>
      </c>
      <c r="N27" s="4">
        <f>DATEDIF(Table3[[#This Row],[Transfer Date]],Table3[[#This Row],[Contract End]],"Y")</f>
        <v>4</v>
      </c>
      <c r="O27" s="33" t="b">
        <v>1</v>
      </c>
    </row>
    <row r="28" spans="1:15" x14ac:dyDescent="0.25">
      <c r="A28" s="1"/>
      <c r="B28" s="2" t="s">
        <v>223</v>
      </c>
      <c r="C28" s="6" t="s">
        <v>28</v>
      </c>
      <c r="D28" s="4" t="s">
        <v>210</v>
      </c>
      <c r="E28" s="4" t="s">
        <v>163</v>
      </c>
      <c r="F28" s="19">
        <v>0</v>
      </c>
      <c r="G28" s="10">
        <v>46231</v>
      </c>
      <c r="H28" s="10">
        <v>46568</v>
      </c>
      <c r="I28" s="8">
        <v>120000</v>
      </c>
      <c r="J28" s="20">
        <v>34305</v>
      </c>
      <c r="K28" s="4">
        <f ca="1">DATEDIF(Table3[[#This Row],[DOB]],TODAY(),"Y")</f>
        <v>32</v>
      </c>
      <c r="L28" s="4">
        <f>DATEDIF(Table3[[#This Row],[DOB]],Table3[[#This Row],[Transfer Date]],"Y")</f>
        <v>32</v>
      </c>
      <c r="M28" s="4">
        <f>Table3[[#This Row],[Age at Transfer]]+Table3[[#This Row],[Contract]]</f>
        <v>32</v>
      </c>
      <c r="N28" s="4">
        <f>DATEDIF(Table3[[#This Row],[Transfer Date]],Table3[[#This Row],[Contract End]],"Y")</f>
        <v>0</v>
      </c>
      <c r="O28" s="33" t="b">
        <v>1</v>
      </c>
    </row>
    <row r="29" spans="1:15" x14ac:dyDescent="0.25">
      <c r="A29" s="1">
        <v>8</v>
      </c>
      <c r="B29" s="2" t="s">
        <v>82</v>
      </c>
      <c r="C29" s="6" t="s">
        <v>29</v>
      </c>
      <c r="D29" s="4" t="s">
        <v>66</v>
      </c>
      <c r="E29" s="4" t="s">
        <v>91</v>
      </c>
      <c r="F29" s="19">
        <v>0</v>
      </c>
      <c r="G29" s="10">
        <v>46231</v>
      </c>
      <c r="H29" s="10">
        <v>47299</v>
      </c>
      <c r="I29" s="8">
        <v>74000</v>
      </c>
      <c r="J29" s="20">
        <v>35917</v>
      </c>
      <c r="K29" s="4">
        <f ca="1">DATEDIF(Table3[[#This Row],[DOB]],TODAY(),"Y")</f>
        <v>28</v>
      </c>
      <c r="L29" s="4">
        <f>DATEDIF(Table3[[#This Row],[DOB]],Table3[[#This Row],[Transfer Date]],"Y")</f>
        <v>28</v>
      </c>
      <c r="M29" s="4">
        <f>Table3[[#This Row],[Age at Transfer]]+Table3[[#This Row],[Contract]]</f>
        <v>30</v>
      </c>
      <c r="N29" s="4">
        <f>DATEDIF(Table3[[#This Row],[Transfer Date]],Table3[[#This Row],[Contract End]],"Y")</f>
        <v>2</v>
      </c>
      <c r="O29" s="33" t="b">
        <v>1</v>
      </c>
    </row>
    <row r="30" spans="1:15" x14ac:dyDescent="0.25">
      <c r="A30" s="1">
        <v>4</v>
      </c>
      <c r="B30" s="2" t="s">
        <v>435</v>
      </c>
      <c r="C30" s="6" t="s">
        <v>26</v>
      </c>
      <c r="D30" s="4" t="s">
        <v>436</v>
      </c>
      <c r="E30" s="4"/>
      <c r="F30" s="19" t="s">
        <v>425</v>
      </c>
      <c r="G30" s="10">
        <v>46231</v>
      </c>
      <c r="H30" s="4"/>
      <c r="I30" s="8"/>
      <c r="J30" s="20">
        <v>35433</v>
      </c>
      <c r="K30" s="4">
        <f ca="1">DATEDIF(Table3[[#This Row],[DOB]],TODAY(),"Y")</f>
        <v>29</v>
      </c>
      <c r="L30" s="4">
        <f>DATEDIF(Table3[[#This Row],[DOB]],Table3[[#This Row],[Transfer Date]],"Y")</f>
        <v>29</v>
      </c>
      <c r="M30" s="4" t="e">
        <f>Table3[[#This Row],[Age at Transfer]]+Table3[[#This Row],[Contract]]</f>
        <v>#NUM!</v>
      </c>
      <c r="N30" s="4" t="e">
        <f>DATEDIF(Table3[[#This Row],[Transfer Date]],Table3[[#This Row],[Contract End]],"Y")</f>
        <v>#NUM!</v>
      </c>
      <c r="O30" s="33" t="b">
        <v>0</v>
      </c>
    </row>
    <row r="31" spans="1:15" x14ac:dyDescent="0.25">
      <c r="A31" s="1">
        <v>3</v>
      </c>
      <c r="B31" s="2" t="s">
        <v>437</v>
      </c>
      <c r="C31" s="6" t="s">
        <v>26</v>
      </c>
      <c r="D31" s="4" t="s">
        <v>436</v>
      </c>
      <c r="E31" s="4"/>
      <c r="F31" s="19" t="s">
        <v>425</v>
      </c>
      <c r="G31" s="10">
        <v>46231</v>
      </c>
      <c r="H31" s="4"/>
      <c r="I31" s="8"/>
      <c r="J31" s="20">
        <v>36269</v>
      </c>
      <c r="K31" s="4">
        <f ca="1">DATEDIF(Table3[[#This Row],[DOB]],TODAY(),"Y")</f>
        <v>27</v>
      </c>
      <c r="L31" s="4">
        <f>DATEDIF(Table3[[#This Row],[DOB]],Table3[[#This Row],[Transfer Date]],"Y")</f>
        <v>27</v>
      </c>
      <c r="M31" s="4" t="e">
        <f>Table3[[#This Row],[Age at Transfer]]+Table3[[#This Row],[Contract]]</f>
        <v>#NUM!</v>
      </c>
      <c r="N31" s="4" t="e">
        <f>DATEDIF(Table3[[#This Row],[Transfer Date]],Table3[[#This Row],[Contract End]],"Y")</f>
        <v>#NUM!</v>
      </c>
      <c r="O31" s="33" t="b">
        <v>0</v>
      </c>
    </row>
    <row r="32" spans="1:15" x14ac:dyDescent="0.25">
      <c r="A32" s="1">
        <v>2</v>
      </c>
      <c r="B32" s="2" t="s">
        <v>438</v>
      </c>
      <c r="C32" s="6" t="s">
        <v>27</v>
      </c>
      <c r="D32" s="4" t="s">
        <v>436</v>
      </c>
      <c r="E32" s="4"/>
      <c r="F32" s="19"/>
      <c r="G32" s="10">
        <v>46231</v>
      </c>
      <c r="H32" s="4"/>
      <c r="I32" s="8"/>
      <c r="J32" s="20">
        <v>36814</v>
      </c>
      <c r="K32" s="4">
        <f ca="1">DATEDIF(Table3[[#This Row],[DOB]],TODAY(),"Y")</f>
        <v>25</v>
      </c>
      <c r="L32" s="4">
        <f>DATEDIF(Table3[[#This Row],[DOB]],Table3[[#This Row],[Transfer Date]],"Y")</f>
        <v>25</v>
      </c>
      <c r="M32" s="4" t="e">
        <f>Table3[[#This Row],[Age at Transfer]]+Table3[[#This Row],[Contract]]</f>
        <v>#NUM!</v>
      </c>
      <c r="N32" s="4" t="e">
        <f>DATEDIF(Table3[[#This Row],[Transfer Date]],Table3[[#This Row],[Contract End]],"Y")</f>
        <v>#NUM!</v>
      </c>
      <c r="O32" s="33" t="b">
        <v>0</v>
      </c>
    </row>
    <row r="33" spans="1:15" x14ac:dyDescent="0.25">
      <c r="A33" s="1">
        <v>38</v>
      </c>
      <c r="B33" s="2" t="s">
        <v>439</v>
      </c>
      <c r="C33" s="6" t="s">
        <v>28</v>
      </c>
      <c r="D33" s="4" t="s">
        <v>436</v>
      </c>
      <c r="E33" s="4" t="s">
        <v>41</v>
      </c>
      <c r="F33" s="19">
        <v>0</v>
      </c>
      <c r="G33" s="10">
        <v>46260</v>
      </c>
      <c r="H33" s="10">
        <v>46934</v>
      </c>
      <c r="I33" s="8">
        <v>90000</v>
      </c>
      <c r="J33" s="20">
        <v>35319</v>
      </c>
      <c r="K33" s="4">
        <f ca="1">DATEDIF(Table3[[#This Row],[DOB]],TODAY(),"Y")</f>
        <v>30</v>
      </c>
      <c r="L33" s="4">
        <f>DATEDIF(Table3[[#This Row],[DOB]],Table3[[#This Row],[Transfer Date]],"Y")</f>
        <v>29</v>
      </c>
      <c r="M33" s="4">
        <f>Table3[[#This Row],[Age at Transfer]]+Table3[[#This Row],[Contract]]</f>
        <v>30</v>
      </c>
      <c r="N33" s="4">
        <f>DATEDIF(Table3[[#This Row],[Transfer Date]],Table3[[#This Row],[Contract End]],"Y")</f>
        <v>1</v>
      </c>
      <c r="O33" s="33" t="b">
        <v>1</v>
      </c>
    </row>
    <row r="34" spans="1:15" x14ac:dyDescent="0.25">
      <c r="A34" s="1">
        <v>9</v>
      </c>
      <c r="B34" s="2" t="s">
        <v>440</v>
      </c>
      <c r="C34" s="6" t="s">
        <v>31</v>
      </c>
      <c r="D34" s="4" t="s">
        <v>436</v>
      </c>
      <c r="E34" s="4" t="s">
        <v>210</v>
      </c>
      <c r="F34" s="19"/>
      <c r="G34" s="10">
        <v>46231</v>
      </c>
      <c r="H34" s="4"/>
      <c r="I34" s="8"/>
      <c r="J34" s="20"/>
      <c r="K34" s="4">
        <f ca="1">DATEDIF(Table3[[#This Row],[DOB]],TODAY(),"Y")</f>
        <v>126</v>
      </c>
      <c r="L34" s="4">
        <f>DATEDIF(Table3[[#This Row],[DOB]],Table3[[#This Row],[Transfer Date]],"Y")</f>
        <v>126</v>
      </c>
      <c r="M34" s="4" t="e">
        <f>Table3[[#This Row],[Age at Transfer]]+Table3[[#This Row],[Contract]]</f>
        <v>#NUM!</v>
      </c>
      <c r="N34" s="4" t="e">
        <f>DATEDIF(Table3[[#This Row],[Transfer Date]],Table3[[#This Row],[Contract End]],"Y")</f>
        <v>#NUM!</v>
      </c>
      <c r="O34" s="33" t="b">
        <v>1</v>
      </c>
    </row>
    <row r="35" spans="1:15" x14ac:dyDescent="0.25">
      <c r="A35" s="1">
        <v>18</v>
      </c>
      <c r="B35" s="2" t="s">
        <v>423</v>
      </c>
      <c r="C35" s="6" t="s">
        <v>35</v>
      </c>
      <c r="D35" s="4" t="s">
        <v>436</v>
      </c>
      <c r="E35" s="4" t="s">
        <v>66</v>
      </c>
      <c r="F35" s="19">
        <v>55000000</v>
      </c>
      <c r="G35" s="10">
        <v>46231</v>
      </c>
      <c r="H35" s="10">
        <v>47299</v>
      </c>
      <c r="I35" s="8">
        <v>300000</v>
      </c>
      <c r="J35" s="20">
        <v>37247</v>
      </c>
      <c r="K35" s="4">
        <f ca="1">DATEDIF(Table3[[#This Row],[DOB]],TODAY(),"Y")</f>
        <v>24</v>
      </c>
      <c r="L35" s="4">
        <f>DATEDIF(Table3[[#This Row],[DOB]],Table3[[#This Row],[Transfer Date]],"Y")</f>
        <v>24</v>
      </c>
      <c r="M35" s="4">
        <f>Table3[[#This Row],[Age at Transfer]]+Table3[[#This Row],[Contract]]</f>
        <v>26</v>
      </c>
      <c r="N35" s="4">
        <f>DATEDIF(Table3[[#This Row],[Transfer Date]],Table3[[#This Row],[Contract End]],"Y")</f>
        <v>2</v>
      </c>
      <c r="O35" s="33" t="b">
        <v>1</v>
      </c>
    </row>
    <row r="36" spans="1:15" x14ac:dyDescent="0.25">
      <c r="A36" s="1">
        <v>3</v>
      </c>
      <c r="B36" s="2" t="s">
        <v>441</v>
      </c>
      <c r="C36" s="6" t="s">
        <v>27</v>
      </c>
      <c r="D36" s="4" t="s">
        <v>420</v>
      </c>
      <c r="E36" s="4"/>
      <c r="F36" s="19"/>
      <c r="G36" s="10">
        <v>46231</v>
      </c>
      <c r="H36" s="4"/>
      <c r="I36" s="8"/>
      <c r="J36" s="20">
        <v>36341</v>
      </c>
      <c r="K36" s="4">
        <f ca="1">DATEDIF(Table3[[#This Row],[DOB]],TODAY(),"Y")</f>
        <v>27</v>
      </c>
      <c r="L36" s="4">
        <f>DATEDIF(Table3[[#This Row],[DOB]],Table3[[#This Row],[Transfer Date]],"Y")</f>
        <v>27</v>
      </c>
      <c r="M36" s="4" t="e">
        <f>Table3[[#This Row],[Age at Transfer]]+Table3[[#This Row],[Contract]]</f>
        <v>#NUM!</v>
      </c>
      <c r="N36" s="4" t="e">
        <f>DATEDIF(Table3[[#This Row],[Transfer Date]],Table3[[#This Row],[Contract End]],"Y")</f>
        <v>#NUM!</v>
      </c>
      <c r="O36" s="33" t="b">
        <v>0</v>
      </c>
    </row>
    <row r="37" spans="1:15" x14ac:dyDescent="0.25">
      <c r="A37" s="1">
        <v>10</v>
      </c>
      <c r="B37" s="2" t="s">
        <v>442</v>
      </c>
      <c r="C37" s="6" t="s">
        <v>31</v>
      </c>
      <c r="D37" s="4" t="s">
        <v>420</v>
      </c>
      <c r="E37" s="4"/>
      <c r="F37" s="19"/>
      <c r="G37" s="10">
        <v>46231</v>
      </c>
      <c r="H37" s="4"/>
      <c r="I37" s="8"/>
      <c r="J37" s="20">
        <v>37477</v>
      </c>
      <c r="K37" s="4">
        <f ca="1">DATEDIF(Table3[[#This Row],[DOB]],TODAY(),"Y")</f>
        <v>24</v>
      </c>
      <c r="L37" s="4">
        <f>DATEDIF(Table3[[#This Row],[DOB]],Table3[[#This Row],[Transfer Date]],"Y")</f>
        <v>23</v>
      </c>
      <c r="M37" s="4" t="e">
        <f>Table3[[#This Row],[Age at Transfer]]+Table3[[#This Row],[Contract]]</f>
        <v>#NUM!</v>
      </c>
      <c r="N37" s="4" t="e">
        <f>DATEDIF(Table3[[#This Row],[Transfer Date]],Table3[[#This Row],[Contract End]],"Y")</f>
        <v>#NUM!</v>
      </c>
      <c r="O37" s="33" t="b">
        <v>0</v>
      </c>
    </row>
    <row r="38" spans="1:15" x14ac:dyDescent="0.25">
      <c r="A38" s="1">
        <v>4</v>
      </c>
      <c r="B38" s="2" t="s">
        <v>358</v>
      </c>
      <c r="C38" s="6" t="s">
        <v>26</v>
      </c>
      <c r="D38" s="4" t="s">
        <v>350</v>
      </c>
      <c r="E38" s="4" t="s">
        <v>114</v>
      </c>
      <c r="F38" s="19">
        <v>32000000</v>
      </c>
      <c r="G38" s="10">
        <v>46231</v>
      </c>
      <c r="H38" s="10">
        <v>48760</v>
      </c>
      <c r="I38" s="8">
        <v>150000</v>
      </c>
      <c r="J38" s="20">
        <v>37845</v>
      </c>
      <c r="K38" s="4">
        <f ca="1">DATEDIF(Table3[[#This Row],[DOB]],TODAY(),"Y")</f>
        <v>23</v>
      </c>
      <c r="L38" s="4">
        <f>DATEDIF(Table3[[#This Row],[DOB]],Table3[[#This Row],[Transfer Date]],"Y")</f>
        <v>22</v>
      </c>
      <c r="M38" s="4">
        <f>Table3[[#This Row],[Age at Transfer]]+Table3[[#This Row],[Contract]]</f>
        <v>28</v>
      </c>
      <c r="N38" s="4">
        <f>DATEDIF(Table3[[#This Row],[Transfer Date]],Table3[[#This Row],[Contract End]],"Y")</f>
        <v>6</v>
      </c>
      <c r="O38" s="33" t="b">
        <v>0</v>
      </c>
    </row>
    <row r="39" spans="1:15" x14ac:dyDescent="0.25">
      <c r="A39" s="1">
        <v>4</v>
      </c>
      <c r="B39" s="2" t="s">
        <v>315</v>
      </c>
      <c r="C39" s="6" t="s">
        <v>27</v>
      </c>
      <c r="D39" s="4" t="s">
        <v>305</v>
      </c>
      <c r="E39" s="4" t="s">
        <v>66</v>
      </c>
      <c r="F39" s="19">
        <v>85000000</v>
      </c>
      <c r="G39" s="10">
        <v>46231</v>
      </c>
      <c r="H39" s="10">
        <v>49490</v>
      </c>
      <c r="I39" s="8">
        <v>230000</v>
      </c>
      <c r="J39" s="20">
        <v>36944</v>
      </c>
      <c r="K39" s="4">
        <f ca="1">DATEDIF(Table3[[#This Row],[DOB]],TODAY(),"Y")</f>
        <v>25</v>
      </c>
      <c r="L39" s="4">
        <f>DATEDIF(Table3[[#This Row],[DOB]],Table3[[#This Row],[Transfer Date]],"Y")</f>
        <v>25</v>
      </c>
      <c r="M39" s="4">
        <f>Table3[[#This Row],[Age at Transfer]]+Table3[[#This Row],[Contract]]</f>
        <v>33</v>
      </c>
      <c r="N39" s="4">
        <f>DATEDIF(Table3[[#This Row],[Transfer Date]],Table3[[#This Row],[Contract End]],"Y")</f>
        <v>8</v>
      </c>
      <c r="O39" s="33" t="b">
        <v>1</v>
      </c>
    </row>
    <row r="40" spans="1:15" x14ac:dyDescent="0.25">
      <c r="A40" s="1">
        <v>27</v>
      </c>
      <c r="B40" s="2" t="s">
        <v>443</v>
      </c>
      <c r="C40" s="6" t="s">
        <v>29</v>
      </c>
      <c r="D40" s="4" t="s">
        <v>444</v>
      </c>
      <c r="E40" s="4" t="s">
        <v>114</v>
      </c>
      <c r="F40" s="19">
        <v>30000000</v>
      </c>
      <c r="G40" s="10">
        <v>46231</v>
      </c>
      <c r="H40" s="10">
        <v>48029</v>
      </c>
      <c r="I40" s="8">
        <v>100000</v>
      </c>
      <c r="J40" s="20">
        <v>38907</v>
      </c>
      <c r="K40" s="4">
        <f ca="1">DATEDIF(Table3[[#This Row],[DOB]],TODAY(),"Y")</f>
        <v>20</v>
      </c>
      <c r="L40" s="4">
        <f>DATEDIF(Table3[[#This Row],[DOB]],Table3[[#This Row],[Transfer Date]],"Y")</f>
        <v>20</v>
      </c>
      <c r="M40" s="4">
        <f>Table3[[#This Row],[Age at Transfer]]+Table3[[#This Row],[Contract]]</f>
        <v>24</v>
      </c>
      <c r="N40" s="4">
        <f>DATEDIF(Table3[[#This Row],[Transfer Date]],Table3[[#This Row],[Contract End]],"Y")</f>
        <v>4</v>
      </c>
      <c r="O40" s="33" t="b">
        <v>1</v>
      </c>
    </row>
    <row r="41" spans="1:15" x14ac:dyDescent="0.25">
      <c r="A41" s="1">
        <v>13</v>
      </c>
      <c r="B41" s="2" t="s">
        <v>445</v>
      </c>
      <c r="C41" s="6" t="s">
        <v>28</v>
      </c>
      <c r="D41" s="4" t="s">
        <v>444</v>
      </c>
      <c r="E41" s="4" t="s">
        <v>139</v>
      </c>
      <c r="F41" s="19">
        <v>50000000</v>
      </c>
      <c r="G41" s="10">
        <v>46231</v>
      </c>
      <c r="H41" s="10">
        <v>47664</v>
      </c>
      <c r="I41" s="8">
        <v>180000</v>
      </c>
      <c r="J41" s="20">
        <v>37413</v>
      </c>
      <c r="K41" s="4">
        <f ca="1">DATEDIF(Table3[[#This Row],[DOB]],TODAY(),"Y")</f>
        <v>24</v>
      </c>
      <c r="L41" s="4">
        <f>DATEDIF(Table3[[#This Row],[DOB]],Table3[[#This Row],[Transfer Date]],"Y")</f>
        <v>24</v>
      </c>
      <c r="M41" s="4">
        <f>Table3[[#This Row],[Age at Transfer]]+Table3[[#This Row],[Contract]]</f>
        <v>27</v>
      </c>
      <c r="N41" s="4">
        <f>DATEDIF(Table3[[#This Row],[Transfer Date]],Table3[[#This Row],[Contract End]],"Y")</f>
        <v>3</v>
      </c>
      <c r="O41" s="33" t="b">
        <v>1</v>
      </c>
    </row>
    <row r="42" spans="1:15" x14ac:dyDescent="0.25">
      <c r="A42" s="1">
        <v>16</v>
      </c>
      <c r="B42" s="2" t="s">
        <v>267</v>
      </c>
      <c r="C42" s="6" t="s">
        <v>26</v>
      </c>
      <c r="D42" s="4" t="s">
        <v>260</v>
      </c>
      <c r="E42" s="4" t="s">
        <v>210</v>
      </c>
      <c r="F42" s="19">
        <v>15000000</v>
      </c>
      <c r="G42" s="10">
        <v>46231</v>
      </c>
      <c r="H42" s="10">
        <v>48760</v>
      </c>
      <c r="I42" s="8">
        <v>120000</v>
      </c>
      <c r="J42" s="20">
        <v>36868</v>
      </c>
      <c r="K42" s="4">
        <f ca="1">DATEDIF(Table3[[#This Row],[DOB]],TODAY(),"Y")</f>
        <v>25</v>
      </c>
      <c r="L42" s="4">
        <f>DATEDIF(Table3[[#This Row],[DOB]],Table3[[#This Row],[Transfer Date]],"Y")</f>
        <v>25</v>
      </c>
      <c r="M42" s="4">
        <f>Table3[[#This Row],[Age at Transfer]]+Table3[[#This Row],[Contract]]</f>
        <v>31</v>
      </c>
      <c r="N42" s="4">
        <f>DATEDIF(Table3[[#This Row],[Transfer Date]],Table3[[#This Row],[Contract End]],"Y")</f>
        <v>6</v>
      </c>
      <c r="O42" s="33" t="b">
        <v>1</v>
      </c>
    </row>
    <row r="43" spans="1:15" x14ac:dyDescent="0.25">
      <c r="A43" s="1">
        <v>20</v>
      </c>
      <c r="B43" s="2" t="s">
        <v>60</v>
      </c>
      <c r="C43" s="6" t="s">
        <v>32</v>
      </c>
      <c r="D43" s="4" t="s">
        <v>41</v>
      </c>
      <c r="E43" s="4" t="s">
        <v>305</v>
      </c>
      <c r="F43" s="19">
        <v>30000000</v>
      </c>
      <c r="G43" s="10">
        <v>46231</v>
      </c>
      <c r="H43" s="10">
        <v>48395</v>
      </c>
      <c r="I43" s="8">
        <v>75000</v>
      </c>
      <c r="J43" s="20">
        <v>35510</v>
      </c>
      <c r="K43" s="4">
        <f ca="1">DATEDIF(Table3[[#This Row],[DOB]],TODAY(),"Y")</f>
        <v>29</v>
      </c>
      <c r="L43" s="4">
        <f>DATEDIF(Table3[[#This Row],[DOB]],Table3[[#This Row],[Transfer Date]],"Y")</f>
        <v>29</v>
      </c>
      <c r="M43" s="4">
        <f>Table3[[#This Row],[Age at Transfer]]+Table3[[#This Row],[Contract]]</f>
        <v>34</v>
      </c>
      <c r="N43" s="4">
        <f>DATEDIF(Table3[[#This Row],[Transfer Date]],Table3[[#This Row],[Contract End]],"Y")</f>
        <v>5</v>
      </c>
      <c r="O43" s="33" t="b">
        <v>1</v>
      </c>
    </row>
    <row r="44" spans="1:15" x14ac:dyDescent="0.25">
      <c r="A44" s="1">
        <v>23</v>
      </c>
      <c r="B44" s="2" t="s">
        <v>75</v>
      </c>
      <c r="C44" s="6" t="s">
        <v>26</v>
      </c>
      <c r="D44" s="4" t="s">
        <v>66</v>
      </c>
      <c r="E44" s="4" t="s">
        <v>444</v>
      </c>
      <c r="F44" s="19">
        <v>0</v>
      </c>
      <c r="G44" s="10">
        <v>46231</v>
      </c>
      <c r="H44" s="10">
        <v>46568</v>
      </c>
      <c r="I44" s="8">
        <v>50000</v>
      </c>
      <c r="J44" s="20">
        <v>34924</v>
      </c>
      <c r="K44" s="4">
        <f ca="1">DATEDIF(Table3[[#This Row],[DOB]],TODAY(),"Y")</f>
        <v>31</v>
      </c>
      <c r="L44" s="4">
        <f>DATEDIF(Table3[[#This Row],[DOB]],Table3[[#This Row],[Transfer Date]],"Y")</f>
        <v>30</v>
      </c>
      <c r="M44" s="4">
        <f>Table3[[#This Row],[Age at Transfer]]+Table3[[#This Row],[Contract]]</f>
        <v>30</v>
      </c>
      <c r="N44" s="4">
        <f>DATEDIF(Table3[[#This Row],[Transfer Date]],Table3[[#This Row],[Contract End]],"Y")</f>
        <v>0</v>
      </c>
      <c r="O44" s="33" t="b">
        <v>1</v>
      </c>
    </row>
    <row r="45" spans="1:15" x14ac:dyDescent="0.25">
      <c r="A45" s="1">
        <v>3</v>
      </c>
      <c r="B45" s="2" t="s">
        <v>145</v>
      </c>
      <c r="C45" s="6" t="s">
        <v>26</v>
      </c>
      <c r="D45" s="4" t="s">
        <v>139</v>
      </c>
      <c r="E45" s="4" t="s">
        <v>460</v>
      </c>
      <c r="F45" s="19">
        <v>50000000</v>
      </c>
      <c r="G45" s="10">
        <v>46231</v>
      </c>
      <c r="H45" s="10">
        <v>47664</v>
      </c>
      <c r="I45" s="8">
        <v>300000</v>
      </c>
      <c r="J45" s="20">
        <v>34379</v>
      </c>
      <c r="K45" s="4">
        <f ca="1">DATEDIF(Table3[[#This Row],[DOB]],TODAY(),"Y")</f>
        <v>32</v>
      </c>
      <c r="L45" s="4">
        <f>DATEDIF(Table3[[#This Row],[DOB]],Table3[[#This Row],[Transfer Date]],"Y")</f>
        <v>32</v>
      </c>
      <c r="M45" s="4">
        <f>Table3[[#This Row],[Age at Transfer]]+Table3[[#This Row],[Contract]]</f>
        <v>35</v>
      </c>
      <c r="N45" s="4">
        <f>DATEDIF(Table3[[#This Row],[Transfer Date]],Table3[[#This Row],[Contract End]],"Y")</f>
        <v>3</v>
      </c>
      <c r="O45" s="33" t="b">
        <v>1</v>
      </c>
    </row>
    <row r="46" spans="1:15" x14ac:dyDescent="0.25">
      <c r="A46" s="1"/>
      <c r="B46" s="2" t="s">
        <v>192</v>
      </c>
      <c r="C46" s="6" t="s">
        <v>26</v>
      </c>
      <c r="D46" s="4" t="s">
        <v>186</v>
      </c>
      <c r="E46" s="4" t="s">
        <v>163</v>
      </c>
      <c r="F46" s="19">
        <v>85000000</v>
      </c>
      <c r="G46" s="10">
        <v>46233</v>
      </c>
      <c r="H46" s="10">
        <v>47664</v>
      </c>
      <c r="I46" s="8">
        <v>700000</v>
      </c>
      <c r="J46" s="20">
        <v>35654</v>
      </c>
      <c r="K46" s="4">
        <f ca="1">DATEDIF(Table3[[#This Row],[DOB]],TODAY(),"Y")</f>
        <v>29</v>
      </c>
      <c r="L46" s="4">
        <f>DATEDIF(Table3[[#This Row],[DOB]],Table3[[#This Row],[Transfer Date]],"Y")</f>
        <v>28</v>
      </c>
      <c r="M46" s="4">
        <f>Table3[[#This Row],[Age at Transfer]]+Table3[[#This Row],[Contract]]</f>
        <v>31</v>
      </c>
      <c r="N46" s="4">
        <f>DATEDIF(Table3[[#This Row],[Transfer Date]],Table3[[#This Row],[Contract End]],"Y")</f>
        <v>3</v>
      </c>
      <c r="O46" s="33" t="b">
        <v>1</v>
      </c>
    </row>
    <row r="47" spans="1:15" x14ac:dyDescent="0.25">
      <c r="A47" s="1">
        <v>39</v>
      </c>
      <c r="B47" s="2" t="s">
        <v>545</v>
      </c>
      <c r="C47" s="6" t="s">
        <v>26</v>
      </c>
      <c r="D47" s="4" t="s">
        <v>444</v>
      </c>
      <c r="E47" s="4" t="s">
        <v>260</v>
      </c>
      <c r="F47" s="19">
        <v>0</v>
      </c>
      <c r="G47" s="10">
        <v>46236</v>
      </c>
      <c r="H47" s="10">
        <v>48395</v>
      </c>
      <c r="I47" s="8">
        <v>85000</v>
      </c>
      <c r="J47" s="20">
        <v>37799</v>
      </c>
      <c r="K47" s="4">
        <f ca="1">DATEDIF(Table3[[#This Row],[DOB]],TODAY(),"Y")</f>
        <v>23</v>
      </c>
      <c r="L47" s="4">
        <f>DATEDIF(Table3[[#This Row],[DOB]],Table3[[#This Row],[Transfer Date]],"Y")</f>
        <v>23</v>
      </c>
      <c r="M47" s="4">
        <f>Table3[[#This Row],[Age at Transfer]]+Table3[[#This Row],[Contract]]</f>
        <v>28</v>
      </c>
      <c r="N47" s="4">
        <f>DATEDIF(Table3[[#This Row],[Transfer Date]],Table3[[#This Row],[Contract End]],"Y")</f>
        <v>5</v>
      </c>
      <c r="O47" s="33" t="b">
        <v>1</v>
      </c>
    </row>
    <row r="48" spans="1:15" x14ac:dyDescent="0.25">
      <c r="A48" s="1">
        <v>27</v>
      </c>
      <c r="B48" s="2" t="s">
        <v>544</v>
      </c>
      <c r="C48" s="6" t="s">
        <v>26</v>
      </c>
      <c r="D48" s="4" t="s">
        <v>436</v>
      </c>
      <c r="E48" s="4" t="s">
        <v>260</v>
      </c>
      <c r="F48" s="19">
        <v>0</v>
      </c>
      <c r="G48" s="10">
        <v>46236</v>
      </c>
      <c r="H48" s="10">
        <v>48760</v>
      </c>
      <c r="I48" s="8">
        <v>55000</v>
      </c>
      <c r="J48" s="20">
        <v>37234</v>
      </c>
      <c r="K48" s="4">
        <f ca="1">DATEDIF(Table3[[#This Row],[DOB]],TODAY(),"Y")</f>
        <v>24</v>
      </c>
      <c r="L48" s="4">
        <f>DATEDIF(Table3[[#This Row],[DOB]],Table3[[#This Row],[Transfer Date]],"Y")</f>
        <v>24</v>
      </c>
      <c r="M48" s="4">
        <f>Table3[[#This Row],[Age at Transfer]]+Table3[[#This Row],[Contract]]</f>
        <v>30</v>
      </c>
      <c r="N48" s="4">
        <f>DATEDIF(Table3[[#This Row],[Transfer Date]],Table3[[#This Row],[Contract End]],"Y")</f>
        <v>6</v>
      </c>
      <c r="O48" s="33" t="b">
        <v>1</v>
      </c>
    </row>
    <row r="49" spans="1:15" x14ac:dyDescent="0.25">
      <c r="A49" s="1">
        <v>20</v>
      </c>
      <c r="B49" s="2" t="s">
        <v>570</v>
      </c>
      <c r="C49" s="6" t="s">
        <v>30</v>
      </c>
      <c r="D49" s="4" t="s">
        <v>571</v>
      </c>
      <c r="E49" s="4" t="s">
        <v>210</v>
      </c>
      <c r="F49" s="19" t="s">
        <v>572</v>
      </c>
      <c r="G49" s="10">
        <v>46244</v>
      </c>
      <c r="H49" s="10">
        <v>46568</v>
      </c>
      <c r="I49" s="8">
        <v>85000</v>
      </c>
      <c r="J49" s="20">
        <v>37778</v>
      </c>
      <c r="K49" s="4">
        <f ca="1">DATEDIF(Table3[[#This Row],[DOB]],TODAY(),"Y")</f>
        <v>23</v>
      </c>
      <c r="L49" s="4">
        <f>DATEDIF(Table3[[#This Row],[DOB]],Table3[[#This Row],[Transfer Date]],"Y")</f>
        <v>23</v>
      </c>
      <c r="M49" s="4">
        <f>Table3[[#This Row],[Age at Transfer]]+Table3[[#This Row],[Contract]]</f>
        <v>23</v>
      </c>
      <c r="N49" s="4">
        <f>DATEDIF(Table3[[#This Row],[Transfer Date]],Table3[[#This Row],[Contract End]],"Y")</f>
        <v>0</v>
      </c>
      <c r="O49" s="33" t="b">
        <v>1</v>
      </c>
    </row>
    <row r="50" spans="1:15" x14ac:dyDescent="0.25">
      <c r="A50" s="1">
        <v>10</v>
      </c>
      <c r="B50" s="2" t="s">
        <v>574</v>
      </c>
      <c r="C50" s="6" t="s">
        <v>32</v>
      </c>
      <c r="D50" s="4" t="s">
        <v>575</v>
      </c>
      <c r="E50" s="4" t="s">
        <v>260</v>
      </c>
      <c r="F50" s="19" t="s">
        <v>572</v>
      </c>
      <c r="G50" s="10">
        <v>46244</v>
      </c>
      <c r="H50" s="10">
        <v>46568</v>
      </c>
      <c r="I50" s="8">
        <v>12000</v>
      </c>
      <c r="J50" s="20">
        <v>36168</v>
      </c>
      <c r="K50" s="4">
        <f ca="1">DATEDIF(Table3[[#This Row],[DOB]],TODAY(),"Y")</f>
        <v>27</v>
      </c>
      <c r="L50" s="4">
        <f>DATEDIF(Table3[[#This Row],[DOB]],Table3[[#This Row],[Transfer Date]],"Y")</f>
        <v>27</v>
      </c>
      <c r="M50" s="4">
        <f>Table3[[#This Row],[Age at Transfer]]+Table3[[#This Row],[Contract]]</f>
        <v>27</v>
      </c>
      <c r="N50" s="4">
        <f>DATEDIF(Table3[[#This Row],[Transfer Date]],Table3[[#This Row],[Contract End]],"Y")</f>
        <v>0</v>
      </c>
      <c r="O50" s="33" t="b">
        <v>1</v>
      </c>
    </row>
    <row r="51" spans="1:15" x14ac:dyDescent="0.25">
      <c r="A51" s="1">
        <v>9</v>
      </c>
      <c r="B51" s="2" t="s">
        <v>442</v>
      </c>
      <c r="C51" s="6" t="s">
        <v>31</v>
      </c>
      <c r="D51" s="4" t="s">
        <v>420</v>
      </c>
      <c r="E51" s="4" t="s">
        <v>305</v>
      </c>
      <c r="F51" s="19">
        <v>45000000</v>
      </c>
      <c r="G51" s="10">
        <v>46253</v>
      </c>
      <c r="H51" s="10">
        <v>48395</v>
      </c>
      <c r="I51" s="8">
        <v>129000</v>
      </c>
      <c r="J51" s="20">
        <v>37477</v>
      </c>
      <c r="K51" s="4">
        <f ca="1">DATEDIF(Table3[[#This Row],[DOB]],TODAY(),"Y")</f>
        <v>24</v>
      </c>
      <c r="L51" s="4">
        <f>DATEDIF(Table3[[#This Row],[DOB]],Table3[[#This Row],[Transfer Date]],"Y")</f>
        <v>24</v>
      </c>
      <c r="M51" s="4">
        <f>Table3[[#This Row],[Age at Transfer]]+Table3[[#This Row],[Contract]]</f>
        <v>29</v>
      </c>
      <c r="N51" s="4">
        <f>DATEDIF(Table3[[#This Row],[Transfer Date]],Table3[[#This Row],[Contract End]],"Y")</f>
        <v>5</v>
      </c>
      <c r="O51" s="33" t="b">
        <v>1</v>
      </c>
    </row>
    <row r="52" spans="1:15" x14ac:dyDescent="0.25">
      <c r="A52" s="1">
        <v>20</v>
      </c>
      <c r="B52" s="2" t="s">
        <v>662</v>
      </c>
      <c r="C52" s="6" t="s">
        <v>30</v>
      </c>
      <c r="D52" s="4" t="s">
        <v>663</v>
      </c>
      <c r="E52" s="4" t="s">
        <v>236</v>
      </c>
      <c r="F52" s="19">
        <v>25000000</v>
      </c>
      <c r="G52" s="10">
        <v>46253</v>
      </c>
      <c r="H52" s="10">
        <v>49125</v>
      </c>
      <c r="I52" s="8">
        <v>120000</v>
      </c>
      <c r="J52" s="20">
        <v>37835</v>
      </c>
      <c r="K52" s="4">
        <f ca="1">DATEDIF(Table3[[#This Row],[DOB]],TODAY(),"Y")</f>
        <v>23</v>
      </c>
      <c r="L52" s="4">
        <f>DATEDIF(Table3[[#This Row],[DOB]],Table3[[#This Row],[Transfer Date]],"Y")</f>
        <v>23</v>
      </c>
      <c r="M52" s="4">
        <f>Table3[[#This Row],[Age at Transfer]]+Table3[[#This Row],[Contract]]</f>
        <v>30</v>
      </c>
      <c r="N52" s="4">
        <f>DATEDIF(Table3[[#This Row],[Transfer Date]],Table3[[#This Row],[Contract End]],"Y")</f>
        <v>7</v>
      </c>
      <c r="O52" s="33" t="b">
        <v>1</v>
      </c>
    </row>
    <row r="53" spans="1:15" x14ac:dyDescent="0.25">
      <c r="A53" s="1">
        <v>8</v>
      </c>
      <c r="B53" s="2" t="s">
        <v>227</v>
      </c>
      <c r="C53" s="6" t="s">
        <v>30</v>
      </c>
      <c r="D53" s="4" t="s">
        <v>210</v>
      </c>
      <c r="E53" s="4" t="s">
        <v>444</v>
      </c>
      <c r="F53" s="19">
        <v>20000000</v>
      </c>
      <c r="G53" s="10">
        <v>46253</v>
      </c>
      <c r="H53" s="10">
        <v>46568</v>
      </c>
      <c r="I53" s="8">
        <v>80000</v>
      </c>
      <c r="J53" s="20">
        <v>33858</v>
      </c>
      <c r="K53" s="4">
        <f ca="1">DATEDIF(Table3[[#This Row],[DOB]],TODAY(),"Y")</f>
        <v>34</v>
      </c>
      <c r="L53" s="4">
        <f>DATEDIF(Table3[[#This Row],[DOB]],Table3[[#This Row],[Transfer Date]],"Y")</f>
        <v>33</v>
      </c>
      <c r="M53" s="4">
        <f>Table3[[#This Row],[Age at Transfer]]+Table3[[#This Row],[Contract]]</f>
        <v>33</v>
      </c>
      <c r="N53" s="4">
        <f>DATEDIF(Table3[[#This Row],[Transfer Date]],Table3[[#This Row],[Contract End]],"Y")</f>
        <v>0</v>
      </c>
      <c r="O53" s="33" t="b">
        <v>1</v>
      </c>
    </row>
    <row r="54" spans="1:15" x14ac:dyDescent="0.25">
      <c r="A54" s="1"/>
      <c r="B54" s="2" t="s">
        <v>167</v>
      </c>
      <c r="C54" s="6" t="s">
        <v>25</v>
      </c>
      <c r="D54" s="4" t="s">
        <v>163</v>
      </c>
      <c r="E54" s="4"/>
      <c r="F54" s="19"/>
      <c r="G54" s="10"/>
      <c r="H54" s="10"/>
      <c r="I54" s="8"/>
      <c r="J54" s="20">
        <v>35034</v>
      </c>
      <c r="K54" s="4">
        <f ca="1">DATEDIF(Table3[[#This Row],[DOB]],TODAY(),"Y")</f>
        <v>30</v>
      </c>
      <c r="L54" s="4" t="e">
        <f>DATEDIF(Table3[[#This Row],[DOB]],Table3[[#This Row],[Transfer Date]],"Y")</f>
        <v>#NUM!</v>
      </c>
      <c r="M54" s="4" t="e">
        <f>Table3[[#This Row],[Age at Transfer]]+Table3[[#This Row],[Contract]]</f>
        <v>#NUM!</v>
      </c>
      <c r="N54" s="4">
        <f>DATEDIF(Table3[[#This Row],[Transfer Date]],Table3[[#This Row],[Contract End]],"Y")</f>
        <v>0</v>
      </c>
      <c r="O54" s="33" t="b">
        <v>0</v>
      </c>
    </row>
    <row r="55" spans="1:15" x14ac:dyDescent="0.25">
      <c r="A55" s="1"/>
      <c r="B55" s="2" t="s">
        <v>168</v>
      </c>
      <c r="C55" s="6" t="s">
        <v>26</v>
      </c>
      <c r="D55" s="4" t="s">
        <v>163</v>
      </c>
      <c r="E55" s="4"/>
      <c r="F55" s="19"/>
      <c r="G55" s="10"/>
      <c r="H55" s="10"/>
      <c r="I55" s="8"/>
      <c r="J55" s="20">
        <v>34322</v>
      </c>
      <c r="K55" s="4">
        <f ca="1">DATEDIF(Table3[[#This Row],[DOB]],TODAY(),"Y")</f>
        <v>32</v>
      </c>
      <c r="L55" s="4" t="e">
        <f>DATEDIF(Table3[[#This Row],[DOB]],Table3[[#This Row],[Transfer Date]],"Y")</f>
        <v>#NUM!</v>
      </c>
      <c r="M55" s="4" t="e">
        <f>Table3[[#This Row],[Age at Transfer]]+Table3[[#This Row],[Contract]]</f>
        <v>#NUM!</v>
      </c>
      <c r="N55" s="4">
        <f>DATEDIF(Table3[[#This Row],[Transfer Date]],Table3[[#This Row],[Contract End]],"Y")</f>
        <v>0</v>
      </c>
      <c r="O55" s="33" t="b">
        <v>0</v>
      </c>
    </row>
    <row r="56" spans="1:15" x14ac:dyDescent="0.25">
      <c r="A56" s="1">
        <v>5</v>
      </c>
      <c r="B56" s="2" t="s">
        <v>172</v>
      </c>
      <c r="C56" s="6" t="s">
        <v>27</v>
      </c>
      <c r="D56" s="4" t="s">
        <v>163</v>
      </c>
      <c r="E56" s="4"/>
      <c r="F56" s="19"/>
      <c r="G56" s="10"/>
      <c r="H56" s="10"/>
      <c r="I56" s="8"/>
      <c r="J56" s="20">
        <v>35292</v>
      </c>
      <c r="K56" s="4">
        <f ca="1">DATEDIF(Table3[[#This Row],[DOB]],TODAY(),"Y")</f>
        <v>30</v>
      </c>
      <c r="L56" s="4" t="e">
        <f>DATEDIF(Table3[[#This Row],[DOB]],Table3[[#This Row],[Transfer Date]],"Y")</f>
        <v>#NUM!</v>
      </c>
      <c r="M56" s="4" t="e">
        <f>Table3[[#This Row],[Age at Transfer]]+Table3[[#This Row],[Contract]]</f>
        <v>#NUM!</v>
      </c>
      <c r="N56" s="4">
        <f>DATEDIF(Table3[[#This Row],[Transfer Date]],Table3[[#This Row],[Contract End]],"Y")</f>
        <v>0</v>
      </c>
      <c r="O56" s="33" t="b">
        <v>0</v>
      </c>
    </row>
    <row r="57" spans="1:15" x14ac:dyDescent="0.25">
      <c r="A57" s="1">
        <v>35</v>
      </c>
      <c r="B57" s="2" t="s">
        <v>173</v>
      </c>
      <c r="C57" s="6" t="s">
        <v>27</v>
      </c>
      <c r="D57" s="4" t="s">
        <v>163</v>
      </c>
      <c r="E57" s="4"/>
      <c r="F57" s="19"/>
      <c r="G57" s="4"/>
      <c r="H57" s="4"/>
      <c r="I57" s="8"/>
      <c r="J57" s="20">
        <v>35792</v>
      </c>
      <c r="K57" s="4">
        <f ca="1">DATEDIF(Table3[[#This Row],[DOB]],TODAY(),"Y")</f>
        <v>28</v>
      </c>
      <c r="L57" s="4" t="e">
        <f>DATEDIF(Table3[[#This Row],[DOB]],Table3[[#This Row],[Transfer Date]],"Y")</f>
        <v>#NUM!</v>
      </c>
      <c r="M57" s="4" t="e">
        <f>Table3[[#This Row],[Age at Transfer]]+Table3[[#This Row],[Contract]]</f>
        <v>#NUM!</v>
      </c>
      <c r="N57" s="4">
        <f>DATEDIF(Table3[[#This Row],[Transfer Date]],Table3[[#This Row],[Contract End]],"Y")</f>
        <v>0</v>
      </c>
      <c r="O57" s="33" t="b">
        <v>0</v>
      </c>
    </row>
    <row r="58" spans="1:15" x14ac:dyDescent="0.25">
      <c r="A58" s="1">
        <v>6</v>
      </c>
      <c r="B58" s="2" t="s">
        <v>174</v>
      </c>
      <c r="C58" s="6" t="s">
        <v>28</v>
      </c>
      <c r="D58" s="4" t="s">
        <v>163</v>
      </c>
      <c r="E58" s="4"/>
      <c r="F58" s="19"/>
      <c r="G58" s="4"/>
      <c r="H58" s="4"/>
      <c r="I58" s="8"/>
      <c r="J58" s="20">
        <v>35351</v>
      </c>
      <c r="K58" s="4">
        <f ca="1">DATEDIF(Table3[[#This Row],[DOB]],TODAY(),"Y")</f>
        <v>29</v>
      </c>
      <c r="L58" s="4" t="e">
        <f>DATEDIF(Table3[[#This Row],[DOB]],Table3[[#This Row],[Transfer Date]],"Y")</f>
        <v>#NUM!</v>
      </c>
      <c r="M58" s="4" t="e">
        <f>Table3[[#This Row],[Age at Transfer]]+Table3[[#This Row],[Contract]]</f>
        <v>#NUM!</v>
      </c>
      <c r="N58" s="4">
        <f>DATEDIF(Table3[[#This Row],[Transfer Date]],Table3[[#This Row],[Contract End]],"Y")</f>
        <v>0</v>
      </c>
      <c r="O58" s="33" t="b">
        <v>0</v>
      </c>
    </row>
    <row r="59" spans="1:15" x14ac:dyDescent="0.25">
      <c r="A59" s="1">
        <v>25</v>
      </c>
      <c r="B59" s="2" t="s">
        <v>175</v>
      </c>
      <c r="C59" s="6" t="s">
        <v>28</v>
      </c>
      <c r="D59" s="4" t="s">
        <v>163</v>
      </c>
      <c r="E59" s="4"/>
      <c r="F59" s="19"/>
      <c r="G59" s="4"/>
      <c r="H59" s="4"/>
      <c r="I59" s="8"/>
      <c r="J59" s="20">
        <v>34896</v>
      </c>
      <c r="K59" s="4">
        <f ca="1">DATEDIF(Table3[[#This Row],[DOB]],TODAY(),"Y")</f>
        <v>31</v>
      </c>
      <c r="L59" s="4" t="e">
        <f>DATEDIF(Table3[[#This Row],[DOB]],Table3[[#This Row],[Transfer Date]],"Y")</f>
        <v>#NUM!</v>
      </c>
      <c r="M59" s="4" t="e">
        <f>Table3[[#This Row],[Age at Transfer]]+Table3[[#This Row],[Contract]]</f>
        <v>#NUM!</v>
      </c>
      <c r="N59" s="4">
        <f>DATEDIF(Table3[[#This Row],[Transfer Date]],Table3[[#This Row],[Contract End]],"Y")</f>
        <v>0</v>
      </c>
      <c r="O59" s="33" t="b">
        <v>0</v>
      </c>
    </row>
    <row r="60" spans="1:15" x14ac:dyDescent="0.25">
      <c r="A60" s="1">
        <v>80</v>
      </c>
      <c r="B60" s="2" t="s">
        <v>116</v>
      </c>
      <c r="C60" s="6" t="s">
        <v>23</v>
      </c>
      <c r="D60" s="4" t="s">
        <v>114</v>
      </c>
      <c r="E60" s="4"/>
      <c r="F60" s="19"/>
      <c r="G60" s="10"/>
      <c r="H60" s="10"/>
      <c r="I60" s="8"/>
      <c r="J60" s="20">
        <v>35769</v>
      </c>
      <c r="K60" s="4">
        <f ca="1">DATEDIF(Table3[[#This Row],[DOB]],TODAY(),"Y")</f>
        <v>28</v>
      </c>
      <c r="L60" s="4" t="e">
        <f>DATEDIF(Table3[[#This Row],[DOB]],Table3[[#This Row],[Transfer Date]],"Y")</f>
        <v>#NUM!</v>
      </c>
      <c r="M60" s="4" t="e">
        <f>Table3[[#This Row],[Age at Transfer]]+Table3[[#This Row],[Contract]]</f>
        <v>#NUM!</v>
      </c>
      <c r="N60" s="4">
        <f>DATEDIF(Table3[[#This Row],[Transfer Date]],Table3[[#This Row],[Contract End]],"Y")</f>
        <v>0</v>
      </c>
      <c r="O60" s="33" t="b">
        <v>0</v>
      </c>
    </row>
    <row r="61" spans="1:15" x14ac:dyDescent="0.25">
      <c r="A61" s="1">
        <v>37</v>
      </c>
      <c r="B61" s="2" t="s">
        <v>129</v>
      </c>
      <c r="C61" s="6" t="s">
        <v>29</v>
      </c>
      <c r="D61" s="4" t="s">
        <v>114</v>
      </c>
      <c r="E61" s="4"/>
      <c r="F61" s="19"/>
      <c r="G61" s="10"/>
      <c r="H61" s="10"/>
      <c r="I61" s="8"/>
      <c r="J61" s="20">
        <v>34966</v>
      </c>
      <c r="K61" s="4">
        <f ca="1">DATEDIF(Table3[[#This Row],[DOB]],TODAY(),"Y")</f>
        <v>30</v>
      </c>
      <c r="L61" s="4" t="e">
        <f>DATEDIF(Table3[[#This Row],[DOB]],Table3[[#This Row],[Transfer Date]],"Y")</f>
        <v>#NUM!</v>
      </c>
      <c r="M61" s="4" t="e">
        <f>Table3[[#This Row],[Age at Transfer]]+Table3[[#This Row],[Contract]]</f>
        <v>#NUM!</v>
      </c>
      <c r="N61" s="4">
        <f>DATEDIF(Table3[[#This Row],[Transfer Date]],Table3[[#This Row],[Contract End]],"Y")</f>
        <v>0</v>
      </c>
      <c r="O61" s="33" t="b">
        <v>0</v>
      </c>
    </row>
    <row r="62" spans="1:15" x14ac:dyDescent="0.25">
      <c r="A62" s="1">
        <v>70</v>
      </c>
      <c r="B62" s="2" t="s">
        <v>130</v>
      </c>
      <c r="C62" s="6" t="s">
        <v>29</v>
      </c>
      <c r="D62" s="4" t="s">
        <v>114</v>
      </c>
      <c r="E62" s="4"/>
      <c r="F62" s="19"/>
      <c r="G62" s="10"/>
      <c r="H62" s="10"/>
      <c r="I62" s="8"/>
      <c r="J62" s="20">
        <v>36264</v>
      </c>
      <c r="K62" s="4">
        <f ca="1">DATEDIF(Table3[[#This Row],[DOB]],TODAY(),"Y")</f>
        <v>27</v>
      </c>
      <c r="L62" s="4" t="e">
        <f>DATEDIF(Table3[[#This Row],[DOB]],Table3[[#This Row],[Transfer Date]],"Y")</f>
        <v>#NUM!</v>
      </c>
      <c r="M62" s="4" t="e">
        <f>Table3[[#This Row],[Age at Transfer]]+Table3[[#This Row],[Contract]]</f>
        <v>#NUM!</v>
      </c>
      <c r="N62" s="4">
        <f>DATEDIF(Table3[[#This Row],[Transfer Date]],Table3[[#This Row],[Contract End]],"Y")</f>
        <v>0</v>
      </c>
      <c r="O62" s="33" t="b">
        <v>0</v>
      </c>
    </row>
    <row r="63" spans="1:15" x14ac:dyDescent="0.25">
      <c r="A63" s="1">
        <v>3</v>
      </c>
      <c r="B63" s="2" t="s">
        <v>214</v>
      </c>
      <c r="C63" s="6" t="s">
        <v>25</v>
      </c>
      <c r="D63" s="4" t="s">
        <v>210</v>
      </c>
      <c r="E63" s="4"/>
      <c r="F63" s="19"/>
      <c r="G63" s="10"/>
      <c r="H63" s="10"/>
      <c r="I63" s="8"/>
      <c r="J63" s="20">
        <v>33280</v>
      </c>
      <c r="K63" s="4">
        <f ca="1">DATEDIF(Table3[[#This Row],[DOB]],TODAY(),"Y")</f>
        <v>35</v>
      </c>
      <c r="L63" s="4" t="e">
        <f>DATEDIF(Table3[[#This Row],[DOB]],Table3[[#This Row],[Transfer Date]],"Y")</f>
        <v>#NUM!</v>
      </c>
      <c r="M63" s="4" t="e">
        <f>Table3[[#This Row],[Age at Transfer]]+Table3[[#This Row],[Contract]]</f>
        <v>#NUM!</v>
      </c>
      <c r="N63" s="4">
        <f>DATEDIF(Table3[[#This Row],[Transfer Date]],Table3[[#This Row],[Contract End]],"Y")</f>
        <v>0</v>
      </c>
      <c r="O63" s="33" t="b">
        <v>0</v>
      </c>
    </row>
    <row r="64" spans="1:15" x14ac:dyDescent="0.25">
      <c r="A64" s="1">
        <v>4</v>
      </c>
      <c r="B64" s="2" t="s">
        <v>216</v>
      </c>
      <c r="C64" s="6" t="s">
        <v>26</v>
      </c>
      <c r="D64" s="4" t="s">
        <v>210</v>
      </c>
      <c r="E64" s="4"/>
      <c r="F64" s="19"/>
      <c r="G64" s="10"/>
      <c r="H64" s="10"/>
      <c r="I64" s="8"/>
      <c r="J64" s="20">
        <v>35055</v>
      </c>
      <c r="K64" s="4">
        <f ca="1">DATEDIF(Table3[[#This Row],[DOB]],TODAY(),"Y")</f>
        <v>30</v>
      </c>
      <c r="L64" s="4" t="e">
        <f>DATEDIF(Table3[[#This Row],[DOB]],Table3[[#This Row],[Transfer Date]],"Y")</f>
        <v>#NUM!</v>
      </c>
      <c r="M64" s="4" t="e">
        <f>Table3[[#This Row],[Age at Transfer]]+Table3[[#This Row],[Contract]]</f>
        <v>#NUM!</v>
      </c>
      <c r="N64" s="4">
        <f>DATEDIF(Table3[[#This Row],[Transfer Date]],Table3[[#This Row],[Contract End]],"Y")</f>
        <v>0</v>
      </c>
      <c r="O64" s="33" t="b">
        <v>0</v>
      </c>
    </row>
    <row r="65" spans="1:15" x14ac:dyDescent="0.25">
      <c r="A65" s="1">
        <v>10</v>
      </c>
      <c r="B65" s="2" t="s">
        <v>233</v>
      </c>
      <c r="C65" s="6" t="s">
        <v>31</v>
      </c>
      <c r="D65" s="4" t="s">
        <v>210</v>
      </c>
      <c r="E65" s="4"/>
      <c r="F65" s="19"/>
      <c r="G65" s="10"/>
      <c r="H65" s="10"/>
      <c r="I65" s="8"/>
      <c r="J65" s="20">
        <v>35047</v>
      </c>
      <c r="K65" s="4">
        <f ca="1">DATEDIF(Table3[[#This Row],[DOB]],TODAY(),"Y")</f>
        <v>30</v>
      </c>
      <c r="L65" s="4" t="e">
        <f>DATEDIF(Table3[[#This Row],[DOB]],Table3[[#This Row],[Transfer Date]],"Y")</f>
        <v>#NUM!</v>
      </c>
      <c r="M65" s="4" t="e">
        <f>Table3[[#This Row],[Age at Transfer]]+Table3[[#This Row],[Contract]]</f>
        <v>#NUM!</v>
      </c>
      <c r="N65" s="4">
        <f>DATEDIF(Table3[[#This Row],[Transfer Date]],Table3[[#This Row],[Contract End]],"Y")</f>
        <v>0</v>
      </c>
      <c r="O65" s="33" t="b">
        <v>0</v>
      </c>
    </row>
    <row r="66" spans="1:15" x14ac:dyDescent="0.25">
      <c r="A66" s="1">
        <v>8</v>
      </c>
      <c r="B66" s="2" t="s">
        <v>276</v>
      </c>
      <c r="C66" s="6" t="s">
        <v>30</v>
      </c>
      <c r="D66" s="4" t="s">
        <v>260</v>
      </c>
      <c r="E66" s="4"/>
      <c r="F66" s="19"/>
      <c r="G66" s="10"/>
      <c r="H66" s="10"/>
      <c r="I66" s="8"/>
      <c r="J66" s="20">
        <v>37597</v>
      </c>
      <c r="K66" s="4">
        <f ca="1">DATEDIF(Table3[[#This Row],[DOB]],TODAY(),"Y")</f>
        <v>23</v>
      </c>
      <c r="L66" s="4" t="e">
        <f>DATEDIF(Table3[[#This Row],[DOB]],Table3[[#This Row],[Transfer Date]],"Y")</f>
        <v>#NUM!</v>
      </c>
      <c r="M66" s="4" t="e">
        <f>Table3[[#This Row],[Age at Transfer]]+Table3[[#This Row],[Contract]]</f>
        <v>#NUM!</v>
      </c>
      <c r="N66" s="4">
        <f>DATEDIF(Table3[[#This Row],[Transfer Date]],Table3[[#This Row],[Contract End]],"Y")</f>
        <v>0</v>
      </c>
      <c r="O66" s="33" t="b">
        <v>0</v>
      </c>
    </row>
    <row r="67" spans="1:15" x14ac:dyDescent="0.25">
      <c r="A67" s="1">
        <v>6</v>
      </c>
      <c r="B67" s="2" t="s">
        <v>52</v>
      </c>
      <c r="C67" s="6" t="s">
        <v>28</v>
      </c>
      <c r="D67" s="4" t="s">
        <v>41</v>
      </c>
      <c r="E67" s="4" t="s">
        <v>186</v>
      </c>
      <c r="F67" s="19" t="s">
        <v>572</v>
      </c>
      <c r="G67" s="10">
        <v>46260</v>
      </c>
      <c r="H67" s="10">
        <v>46568</v>
      </c>
      <c r="I67" s="8">
        <v>125000</v>
      </c>
      <c r="J67" s="20">
        <v>38368</v>
      </c>
      <c r="K67" s="4">
        <f ca="1">DATEDIF(Table3[[#This Row],[DOB]],TODAY(),"Y")</f>
        <v>21</v>
      </c>
      <c r="L67" s="4">
        <f>DATEDIF(Table3[[#This Row],[DOB]],Table3[[#This Row],[Transfer Date]],"Y")</f>
        <v>21</v>
      </c>
      <c r="M67" s="4">
        <f>Table3[[#This Row],[Age at Transfer]]+Table3[[#This Row],[Contract]]</f>
        <v>21</v>
      </c>
      <c r="N67" s="4">
        <f>DATEDIF(Table3[[#This Row],[Transfer Date]],Table3[[#This Row],[Contract End]],"Y")</f>
        <v>0</v>
      </c>
      <c r="O67" s="33" t="b">
        <v>0</v>
      </c>
    </row>
    <row r="68" spans="1:15" x14ac:dyDescent="0.25">
      <c r="A68" s="1"/>
      <c r="B68" s="2"/>
      <c r="C68" s="6"/>
      <c r="D68" s="4"/>
      <c r="E68" s="4"/>
      <c r="F68" s="19"/>
      <c r="G68" s="10"/>
      <c r="H68" s="10"/>
      <c r="I68" s="8"/>
      <c r="J68" s="20"/>
      <c r="K68" s="4">
        <f ca="1">DATEDIF(Table3[[#This Row],[DOB]],TODAY(),"Y")</f>
        <v>126</v>
      </c>
      <c r="L68" s="4">
        <f>DATEDIF(Table3[[#This Row],[DOB]],Table3[[#This Row],[Transfer Date]],"Y")</f>
        <v>0</v>
      </c>
      <c r="M68" s="4">
        <f>Table3[[#This Row],[Age at Transfer]]+Table3[[#This Row],[Contract]]</f>
        <v>0</v>
      </c>
      <c r="N68" s="4">
        <f>DATEDIF(Table3[[#This Row],[Transfer Date]],Table3[[#This Row],[Contract End]],"Y")</f>
        <v>0</v>
      </c>
      <c r="O68" s="33" t="b">
        <v>0</v>
      </c>
    </row>
    <row r="69" spans="1:15" x14ac:dyDescent="0.25">
      <c r="A69" s="1"/>
      <c r="B69" s="2"/>
      <c r="C69" s="6"/>
      <c r="D69" s="4"/>
      <c r="E69" s="4"/>
      <c r="F69" s="19"/>
      <c r="G69" s="10"/>
      <c r="H69" s="10"/>
      <c r="I69" s="8"/>
      <c r="J69" s="20"/>
      <c r="K69" s="4">
        <f ca="1">DATEDIF(Table3[[#This Row],[DOB]],TODAY(),"Y")</f>
        <v>126</v>
      </c>
      <c r="L69" s="4">
        <f>DATEDIF(Table3[[#This Row],[DOB]],Table3[[#This Row],[Transfer Date]],"Y")</f>
        <v>0</v>
      </c>
      <c r="M69" s="4">
        <f>Table3[[#This Row],[Age at Transfer]]+Table3[[#This Row],[Contract]]</f>
        <v>0</v>
      </c>
      <c r="N69" s="4">
        <f>DATEDIF(Table3[[#This Row],[Transfer Date]],Table3[[#This Row],[Contract End]],"Y")</f>
        <v>0</v>
      </c>
      <c r="O69" s="33" t="b">
        <v>0</v>
      </c>
    </row>
    <row r="70" spans="1:15" x14ac:dyDescent="0.25">
      <c r="A70" s="4"/>
      <c r="B70" s="4" t="s">
        <v>399</v>
      </c>
      <c r="C70" s="4"/>
      <c r="D70" s="4"/>
      <c r="E70" s="4"/>
      <c r="F70" s="8">
        <f>SUBTOTAL(109,Table3[FEE])</f>
        <v>1204400000</v>
      </c>
      <c r="G70" s="4"/>
      <c r="H70" s="4"/>
      <c r="I70" s="8"/>
      <c r="J70" s="4"/>
      <c r="K70" s="4">
        <f ca="1">SUBTOTAL(101,Table3[Age])</f>
        <v>31.279411764705884</v>
      </c>
      <c r="L70" s="4" t="e">
        <f>SUBTOTAL(101,Table3[Age at Transfer])</f>
        <v>#NUM!</v>
      </c>
      <c r="M70" s="4" t="e">
        <f>SUBTOTAL(101,Table3[Age at Contract End])</f>
        <v>#VALUE!</v>
      </c>
      <c r="N70" s="4" t="e">
        <f>SUBTOTAL(101,Table3[Contract])</f>
        <v>#VALUE!</v>
      </c>
      <c r="O70" s="4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FIXTURES</vt:lpstr>
      <vt:lpstr>PLAYERS</vt:lpstr>
      <vt:lpstr>TRANSFERS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 Majani</dc:creator>
  <cp:lastModifiedBy>Trevor Majani</cp:lastModifiedBy>
  <dcterms:created xsi:type="dcterms:W3CDTF">2026-07-25T18:33:59Z</dcterms:created>
  <dcterms:modified xsi:type="dcterms:W3CDTF">2026-09-11T13:19:13Z</dcterms:modified>
</cp:coreProperties>
</file>